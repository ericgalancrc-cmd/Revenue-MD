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ovider Roster" sheetId="2" state="visible" r:id="rId2"/>
    <sheet name="Chart Sample Log" sheetId="3" state="visible" r:id="rId3"/>
    <sheet name="Audit Worksheet" sheetId="4" state="visible" r:id="rId4"/>
    <sheet name="MEAT Checklist" sheetId="5" state="visible" r:id="rId5"/>
    <sheet name="HCC-RAF Tracker" sheetId="6" state="visible" r:id="rId6"/>
    <sheet name="CPT II Tracker" sheetId="7" state="visible" r:id="rId7"/>
    <sheet name="Scorecard" sheetId="8" state="visible" r:id="rId8"/>
    <sheet name="Dashboard" sheetId="9" state="visible" r:id="rId9"/>
    <sheet name="Corrective Action" sheetId="10" state="visible" r:id="rId10"/>
    <sheet name="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F172A"/>
      <sz val="10"/>
    </font>
    <font>
      <name val="Calibri"/>
      <b val="1"/>
      <color rgb="000F172A"/>
      <sz val="11"/>
    </font>
    <font>
      <name val="Calibri"/>
      <color rgb="000F172A"/>
      <sz val="11"/>
    </font>
    <font>
      <b val="1"/>
      <color rgb="000F6E6E"/>
      <sz val="12"/>
    </font>
    <font>
      <name val="Calibri"/>
      <b val="1"/>
      <color rgb="00FFFFFF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6F4F1"/>
      </patternFill>
    </fill>
    <fill>
      <patternFill patternType="solid">
        <fgColor rgb="000F6E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6" fillId="4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D6EAF8"/>
        </patternFill>
      </fill>
    </dxf>
    <dxf>
      <fill>
        <patternFill patternType="solid">
          <fgColor rgb="00C7F0D2"/>
        </patternFill>
      </fill>
    </dxf>
    <dxf>
      <fill>
        <patternFill patternType="solid">
          <fgColor rgb="00FDE9C0"/>
        </patternFill>
      </fill>
    </dxf>
    <dxf>
      <fill>
        <patternFill patternType="solid">
          <f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  <col width="3" customWidth="1" min="4" max="4"/>
  </cols>
  <sheetData>
    <row r="1" ht="30" customHeight="1">
      <c r="A1" s="1" t="inlineStr">
        <is>
          <t>HealthProMed — Internal Clinical Documentation Audit</t>
        </is>
      </c>
    </row>
    <row r="2" ht="20" customHeight="1">
      <c r="A2" s="2" t="inlineStr">
        <is>
          <t>Monthly provider audit workbook · Family Medicine · Internal Medicine · General Medicine</t>
        </is>
      </c>
    </row>
    <row r="4">
      <c r="B4" s="3" t="inlineStr">
        <is>
          <t>Program owner</t>
        </is>
      </c>
      <c r="C4" s="4" t="inlineStr">
        <is>
          <t>Coding &amp; Compliance — Revenue Integrity</t>
        </is>
      </c>
    </row>
    <row r="5">
      <c r="B5" s="3" t="inlineStr">
        <is>
          <t>Cycle</t>
        </is>
      </c>
      <c r="C5" s="4" t="inlineStr">
        <is>
          <t>Monthly (charts drawn from prior month's encounters)</t>
        </is>
      </c>
    </row>
    <row r="6">
      <c r="B6" s="3" t="inlineStr">
        <is>
          <t>Sample size</t>
        </is>
      </c>
      <c r="C6" s="4" t="inlineStr">
        <is>
          <t>10 charts per provider per month</t>
        </is>
      </c>
    </row>
    <row r="7">
      <c r="B7" s="3" t="inlineStr">
        <is>
          <t>Chart mix</t>
        </is>
      </c>
      <c r="C7" s="4" t="inlineStr">
        <is>
          <t>3 Diabetes · 2 CKD · 2 AWV · 2 High RAF · 1 Random</t>
        </is>
      </c>
    </row>
    <row r="8">
      <c r="B8" s="3" t="inlineStr">
        <is>
          <t>Scoring model</t>
        </is>
      </c>
      <c r="C8" s="4" t="inlineStr">
        <is>
          <t>Diagnosis 30% · Doc specificity 25% · MEAT 25% · HCC 10% · CPT II 10%</t>
        </is>
      </c>
    </row>
    <row r="9">
      <c r="B9" s="3" t="inlineStr">
        <is>
          <t>Performance bands</t>
        </is>
      </c>
      <c r="C9" s="4" t="inlineStr">
        <is>
          <t>Excellent 95–100 · Meets 90–94 · Needs improvement 80–89 · Corrective &lt;80</t>
        </is>
      </c>
    </row>
    <row r="10">
      <c r="B10" s="3" t="inlineStr">
        <is>
          <t>Six-month targets</t>
        </is>
      </c>
      <c r="C10" s="4" t="inlineStr">
        <is>
          <t>-25% unspecified codes · +20% HCC specificity · +15% CPT II · 100% completion</t>
        </is>
      </c>
    </row>
    <row r="12">
      <c r="B12" s="5" t="inlineStr">
        <is>
          <t>Workbook tabs</t>
        </is>
      </c>
    </row>
    <row r="13">
      <c r="B13" s="6" t="inlineStr">
        <is>
          <t>1. Provider Roster</t>
        </is>
      </c>
      <c r="C13" s="4" t="inlineStr">
        <is>
          <t>List of every provider being audited this cycle.</t>
        </is>
      </c>
    </row>
    <row r="14">
      <c r="B14" s="6" t="inlineStr">
        <is>
          <t>2. Chart Sample Log</t>
        </is>
      </c>
      <c r="C14" s="4" t="inlineStr">
        <is>
          <t>Every chart pulled for audit — one row per chart.</t>
        </is>
      </c>
    </row>
    <row r="15">
      <c r="B15" s="6" t="inlineStr">
        <is>
          <t>3. Audit Worksheet</t>
        </is>
      </c>
      <c r="C15" s="4" t="inlineStr">
        <is>
          <t>The 10-chart-per-provider audit form. Score each chart here.</t>
        </is>
      </c>
    </row>
    <row r="16">
      <c r="B16" s="6" t="inlineStr">
        <is>
          <t>4. MEAT Checklist</t>
        </is>
      </c>
      <c r="C16" s="4" t="inlineStr">
        <is>
          <t>Per-diagnosis MEAT validation (Monitor · Evaluate · Assess · Treat).</t>
        </is>
      </c>
    </row>
    <row r="17">
      <c r="B17" s="6" t="inlineStr">
        <is>
          <t>5. HCC / RAF Tracker</t>
        </is>
      </c>
      <c r="C17" s="4" t="inlineStr">
        <is>
          <t>HCC recapture + missed HCC opportunities.</t>
        </is>
      </c>
    </row>
    <row r="18">
      <c r="B18" s="6" t="inlineStr">
        <is>
          <t>6. CPT II Tracker</t>
        </is>
      </c>
      <c r="C18" s="4" t="inlineStr">
        <is>
          <t>CPT II reporting compliance and misses.</t>
        </is>
      </c>
    </row>
    <row r="19">
      <c r="B19" s="6" t="inlineStr">
        <is>
          <t>7. Scorecard</t>
        </is>
      </c>
      <c r="C19" s="4" t="inlineStr">
        <is>
          <t>Per-provider monthly score with weighted rollup.</t>
        </is>
      </c>
    </row>
    <row r="20">
      <c r="B20" s="6" t="inlineStr">
        <is>
          <t>8. Dashboard</t>
        </is>
      </c>
      <c r="C20" s="4" t="inlineStr">
        <is>
          <t>Monthly KPI summary + trend view.</t>
        </is>
      </c>
    </row>
    <row r="21">
      <c r="B21" s="6" t="inlineStr">
        <is>
          <t>9. Corrective Action</t>
        </is>
      </c>
      <c r="C21" s="4" t="inlineStr">
        <is>
          <t>Providers below 80% + re-audit tracking.</t>
        </is>
      </c>
    </row>
    <row r="22">
      <c r="B22" s="6" t="inlineStr">
        <is>
          <t>10. Reference</t>
        </is>
      </c>
      <c r="C22" s="4" t="inlineStr">
        <is>
          <t>MEAT criteria, high-risk dx list, CPT II priorities, code lists.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6E6E"/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8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Provider Roster</t>
        </is>
      </c>
    </row>
    <row r="2" ht="20" customHeight="1">
      <c r="A2" s="2" t="inlineStr">
        <is>
          <t>Every provider audited this cycle. Add rows as needed.</t>
        </is>
      </c>
    </row>
    <row r="4">
      <c r="A4" s="7" t="inlineStr">
        <is>
          <t>Provider ID</t>
        </is>
      </c>
      <c r="B4" s="7" t="inlineStr">
        <is>
          <t>Provider Name</t>
        </is>
      </c>
      <c r="C4" s="7" t="inlineStr">
        <is>
          <t>Specialty</t>
        </is>
      </c>
      <c r="D4" s="7" t="inlineStr">
        <is>
          <t>Clinic / Site</t>
        </is>
      </c>
      <c r="E4" s="7" t="inlineStr">
        <is>
          <t>NPI</t>
        </is>
      </c>
      <c r="F4" s="7" t="inlineStr">
        <is>
          <t>Payer Mix (MA / Comm / Both)</t>
        </is>
      </c>
      <c r="G4" s="7" t="inlineStr">
        <is>
          <t>Active for Audit?</t>
        </is>
      </c>
    </row>
    <row r="5">
      <c r="A5" s="8" t="inlineStr">
        <is>
          <t>FM-001</t>
        </is>
      </c>
      <c r="B5" s="8" t="inlineStr">
        <is>
          <t>Dr. Provider One</t>
        </is>
      </c>
      <c r="C5" s="8" t="inlineStr">
        <is>
          <t>Family Medicine</t>
        </is>
      </c>
      <c r="D5" s="8" t="inlineStr">
        <is>
          <t>San Juan</t>
        </is>
      </c>
      <c r="E5" s="8" t="inlineStr">
        <is>
          <t>1234567890</t>
        </is>
      </c>
      <c r="F5" s="8" t="inlineStr">
        <is>
          <t>Both</t>
        </is>
      </c>
      <c r="G5" s="8" t="inlineStr">
        <is>
          <t>Yes</t>
        </is>
      </c>
    </row>
    <row r="6">
      <c r="A6" s="8" t="inlineStr">
        <is>
          <t>FM-002</t>
        </is>
      </c>
      <c r="B6" s="8" t="inlineStr">
        <is>
          <t>Dr. Provider Two</t>
        </is>
      </c>
      <c r="C6" s="8" t="inlineStr">
        <is>
          <t>Family Medicine</t>
        </is>
      </c>
      <c r="D6" s="8" t="inlineStr">
        <is>
          <t>Ponce</t>
        </is>
      </c>
      <c r="E6" s="8" t="inlineStr">
        <is>
          <t>2345678901</t>
        </is>
      </c>
      <c r="F6" s="8" t="inlineStr">
        <is>
          <t>MA</t>
        </is>
      </c>
      <c r="G6" s="8" t="inlineStr">
        <is>
          <t>Yes</t>
        </is>
      </c>
    </row>
    <row r="7">
      <c r="A7" s="8" t="inlineStr">
        <is>
          <t>IM-001</t>
        </is>
      </c>
      <c r="B7" s="8" t="inlineStr">
        <is>
          <t>Dr. Provider Three</t>
        </is>
      </c>
      <c r="C7" s="8" t="inlineStr">
        <is>
          <t>Internal Medicine</t>
        </is>
      </c>
      <c r="D7" s="8" t="inlineStr">
        <is>
          <t>Bayamón</t>
        </is>
      </c>
      <c r="E7" s="8" t="inlineStr">
        <is>
          <t>3456789012</t>
        </is>
      </c>
      <c r="F7" s="8" t="inlineStr">
        <is>
          <t>Both</t>
        </is>
      </c>
      <c r="G7" s="8" t="inlineStr">
        <is>
          <t>Yes</t>
        </is>
      </c>
    </row>
    <row r="8">
      <c r="A8" s="8" t="inlineStr">
        <is>
          <t>IM-002</t>
        </is>
      </c>
      <c r="B8" s="8" t="inlineStr">
        <is>
          <t>Dr. Provider Four</t>
        </is>
      </c>
      <c r="C8" s="8" t="inlineStr">
        <is>
          <t>Internal Medicine</t>
        </is>
      </c>
      <c r="D8" s="8" t="inlineStr">
        <is>
          <t>Caguas</t>
        </is>
      </c>
      <c r="E8" s="8" t="inlineStr">
        <is>
          <t>4567890123</t>
        </is>
      </c>
      <c r="F8" s="8" t="inlineStr">
        <is>
          <t>MA</t>
        </is>
      </c>
      <c r="G8" s="8" t="inlineStr">
        <is>
          <t>Yes</t>
        </is>
      </c>
    </row>
    <row r="9">
      <c r="A9" s="8" t="inlineStr">
        <is>
          <t>GM-001</t>
        </is>
      </c>
      <c r="B9" s="8" t="inlineStr">
        <is>
          <t>Dr. Provider Five</t>
        </is>
      </c>
      <c r="C9" s="8" t="inlineStr">
        <is>
          <t>General Medicine</t>
        </is>
      </c>
      <c r="D9" s="8" t="inlineStr">
        <is>
          <t>Mayagüez</t>
        </is>
      </c>
      <c r="E9" s="8" t="inlineStr">
        <is>
          <t>5678901234</t>
        </is>
      </c>
      <c r="F9" s="8" t="inlineStr">
        <is>
          <t>Comm</t>
        </is>
      </c>
      <c r="G9" s="8" t="inlineStr">
        <is>
          <t>Yes</t>
        </is>
      </c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6E6E"/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0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4" customWidth="1" min="10" max="10"/>
  </cols>
  <sheetData>
    <row r="1" ht="30" customHeight="1">
      <c r="A1" s="1" t="inlineStr">
        <is>
          <t>Monthly Chart Sample Log</t>
        </is>
      </c>
    </row>
    <row r="2" ht="20" customHeight="1">
      <c r="A2" s="2" t="inlineStr">
        <is>
          <t>One row per chart pulled. 10 charts × provider × month. Category mix: 3 DM · 2 CKD · 2 AWV · 2 High-RAF · 1 Random.</t>
        </is>
      </c>
    </row>
    <row r="4">
      <c r="A4" s="7" t="inlineStr">
        <is>
          <t>Audit Month</t>
        </is>
      </c>
      <c r="B4" s="7" t="inlineStr">
        <is>
          <t>Provider ID</t>
        </is>
      </c>
      <c r="C4" s="7" t="inlineStr">
        <is>
          <t>Provider Name</t>
        </is>
      </c>
      <c r="D4" s="7" t="inlineStr">
        <is>
          <t>Chart #</t>
        </is>
      </c>
      <c r="E4" s="7" t="inlineStr">
        <is>
          <t>MRN (masked)</t>
        </is>
      </c>
      <c r="F4" s="7" t="inlineStr">
        <is>
          <t>DOS</t>
        </is>
      </c>
      <c r="G4" s="7" t="inlineStr">
        <is>
          <t>Category</t>
        </is>
      </c>
      <c r="H4" s="7" t="inlineStr">
        <is>
          <t>Payer</t>
        </is>
      </c>
      <c r="I4" s="7" t="inlineStr">
        <is>
          <t>Auditor</t>
        </is>
      </c>
      <c r="J4" s="7" t="inlineStr">
        <is>
          <t>Status</t>
        </is>
      </c>
    </row>
    <row r="5">
      <c r="A5" s="8" t="inlineStr">
        <is>
          <t>2026-07</t>
        </is>
      </c>
      <c r="B5" s="8" t="inlineStr">
        <is>
          <t>FM-001</t>
        </is>
      </c>
      <c r="C5" s="8" t="inlineStr">
        <is>
          <t>Dr. Provider One</t>
        </is>
      </c>
      <c r="D5" s="8" t="n">
        <v>1</v>
      </c>
      <c r="E5" s="8" t="inlineStr">
        <is>
          <t>MRN-****-0847</t>
        </is>
      </c>
      <c r="F5" s="8" t="inlineStr">
        <is>
          <t>2026-06-05</t>
        </is>
      </c>
      <c r="G5" s="8" t="inlineStr">
        <is>
          <t>Diabetes</t>
        </is>
      </c>
      <c r="H5" s="8" t="inlineStr">
        <is>
          <t>Medicare Advantage</t>
        </is>
      </c>
      <c r="I5" s="8" t="inlineStr">
        <is>
          <t>Auditor A</t>
        </is>
      </c>
      <c r="J5" s="8" t="inlineStr">
        <is>
          <t>Pending</t>
        </is>
      </c>
    </row>
    <row r="6">
      <c r="A6" s="8" t="inlineStr">
        <is>
          <t>2026-07</t>
        </is>
      </c>
      <c r="B6" s="8" t="inlineStr">
        <is>
          <t>FM-001</t>
        </is>
      </c>
      <c r="C6" s="8" t="inlineStr">
        <is>
          <t>Dr. Provider One</t>
        </is>
      </c>
      <c r="D6" s="8" t="n">
        <v>2</v>
      </c>
      <c r="E6" s="8" t="inlineStr">
        <is>
          <t>MRN-****-0912</t>
        </is>
      </c>
      <c r="F6" s="8" t="inlineStr">
        <is>
          <t>2026-06-08</t>
        </is>
      </c>
      <c r="G6" s="8" t="inlineStr">
        <is>
          <t>Diabetes</t>
        </is>
      </c>
      <c r="H6" s="8" t="inlineStr">
        <is>
          <t>Medicare Advantage</t>
        </is>
      </c>
      <c r="I6" s="8" t="inlineStr">
        <is>
          <t>Auditor A</t>
        </is>
      </c>
      <c r="J6" s="8" t="inlineStr">
        <is>
          <t>Pending</t>
        </is>
      </c>
    </row>
    <row r="7">
      <c r="A7" s="8" t="inlineStr">
        <is>
          <t>2026-07</t>
        </is>
      </c>
      <c r="B7" s="8" t="inlineStr">
        <is>
          <t>FM-001</t>
        </is>
      </c>
      <c r="C7" s="8" t="inlineStr">
        <is>
          <t>Dr. Provider One</t>
        </is>
      </c>
      <c r="D7" s="8" t="n">
        <v>3</v>
      </c>
      <c r="E7" s="8" t="inlineStr">
        <is>
          <t>MRN-****-1013</t>
        </is>
      </c>
      <c r="F7" s="8" t="inlineStr">
        <is>
          <t>2026-06-11</t>
        </is>
      </c>
      <c r="G7" s="8" t="inlineStr">
        <is>
          <t>Diabetes</t>
        </is>
      </c>
      <c r="H7" s="8" t="inlineStr">
        <is>
          <t>Commercial</t>
        </is>
      </c>
      <c r="I7" s="8" t="inlineStr">
        <is>
          <t>Auditor A</t>
        </is>
      </c>
      <c r="J7" s="8" t="inlineStr">
        <is>
          <t>Pending</t>
        </is>
      </c>
    </row>
    <row r="8">
      <c r="A8" s="8" t="inlineStr">
        <is>
          <t>2026-07</t>
        </is>
      </c>
      <c r="B8" s="8" t="inlineStr">
        <is>
          <t>FM-001</t>
        </is>
      </c>
      <c r="C8" s="8" t="inlineStr">
        <is>
          <t>Dr. Provider One</t>
        </is>
      </c>
      <c r="D8" s="8" t="n">
        <v>4</v>
      </c>
      <c r="E8" s="8" t="inlineStr">
        <is>
          <t>MRN-****-1156</t>
        </is>
      </c>
      <c r="F8" s="8" t="inlineStr">
        <is>
          <t>2026-06-14</t>
        </is>
      </c>
      <c r="G8" s="8" t="inlineStr">
        <is>
          <t>Chronic Kidney Disease</t>
        </is>
      </c>
      <c r="H8" s="8" t="inlineStr">
        <is>
          <t>Medicare Advantage</t>
        </is>
      </c>
      <c r="I8" s="8" t="inlineStr">
        <is>
          <t>Auditor A</t>
        </is>
      </c>
      <c r="J8" s="8" t="inlineStr">
        <is>
          <t>Pending</t>
        </is>
      </c>
    </row>
    <row r="9">
      <c r="A9" s="8" t="inlineStr">
        <is>
          <t>2026-07</t>
        </is>
      </c>
      <c r="B9" s="8" t="inlineStr">
        <is>
          <t>FM-001</t>
        </is>
      </c>
      <c r="C9" s="8" t="inlineStr">
        <is>
          <t>Dr. Provider One</t>
        </is>
      </c>
      <c r="D9" s="8" t="n">
        <v>5</v>
      </c>
      <c r="E9" s="8" t="inlineStr">
        <is>
          <t>MRN-****-1278</t>
        </is>
      </c>
      <c r="F9" s="8" t="inlineStr">
        <is>
          <t>2026-06-17</t>
        </is>
      </c>
      <c r="G9" s="8" t="inlineStr">
        <is>
          <t>Chronic Kidney Disease</t>
        </is>
      </c>
      <c r="H9" s="8" t="inlineStr">
        <is>
          <t>Medicare Advantage</t>
        </is>
      </c>
      <c r="I9" s="8" t="inlineStr">
        <is>
          <t>Auditor A</t>
        </is>
      </c>
      <c r="J9" s="8" t="inlineStr">
        <is>
          <t>Pending</t>
        </is>
      </c>
    </row>
    <row r="10">
      <c r="A10" s="8" t="inlineStr">
        <is>
          <t>2026-07</t>
        </is>
      </c>
      <c r="B10" s="8" t="inlineStr">
        <is>
          <t>FM-001</t>
        </is>
      </c>
      <c r="C10" s="8" t="inlineStr">
        <is>
          <t>Dr. Provider One</t>
        </is>
      </c>
      <c r="D10" s="8" t="n">
        <v>6</v>
      </c>
      <c r="E10" s="8" t="inlineStr">
        <is>
          <t>MRN-****-1301</t>
        </is>
      </c>
      <c r="F10" s="8" t="inlineStr">
        <is>
          <t>2026-06-19</t>
        </is>
      </c>
      <c r="G10" s="8" t="inlineStr">
        <is>
          <t>Annual Wellness Visit</t>
        </is>
      </c>
      <c r="H10" s="8" t="inlineStr">
        <is>
          <t>Medicare Advantage</t>
        </is>
      </c>
      <c r="I10" s="8" t="inlineStr">
        <is>
          <t>Auditor A</t>
        </is>
      </c>
      <c r="J10" s="8" t="inlineStr">
        <is>
          <t>Pending</t>
        </is>
      </c>
    </row>
    <row r="11">
      <c r="A11" s="8" t="inlineStr">
        <is>
          <t>2026-07</t>
        </is>
      </c>
      <c r="B11" s="8" t="inlineStr">
        <is>
          <t>FM-001</t>
        </is>
      </c>
      <c r="C11" s="8" t="inlineStr">
        <is>
          <t>Dr. Provider One</t>
        </is>
      </c>
      <c r="D11" s="8" t="n">
        <v>7</v>
      </c>
      <c r="E11" s="8" t="inlineStr">
        <is>
          <t>MRN-****-1355</t>
        </is>
      </c>
      <c r="F11" s="8" t="inlineStr">
        <is>
          <t>2026-06-22</t>
        </is>
      </c>
      <c r="G11" s="8" t="inlineStr">
        <is>
          <t>Annual Wellness Visit</t>
        </is>
      </c>
      <c r="H11" s="8" t="inlineStr">
        <is>
          <t>Medicare Advantage</t>
        </is>
      </c>
      <c r="I11" s="8" t="inlineStr">
        <is>
          <t>Auditor A</t>
        </is>
      </c>
      <c r="J11" s="8" t="inlineStr">
        <is>
          <t>Pending</t>
        </is>
      </c>
    </row>
    <row r="12">
      <c r="A12" s="8" t="inlineStr">
        <is>
          <t>2026-07</t>
        </is>
      </c>
      <c r="B12" s="8" t="inlineStr">
        <is>
          <t>FM-001</t>
        </is>
      </c>
      <c r="C12" s="8" t="inlineStr">
        <is>
          <t>Dr. Provider One</t>
        </is>
      </c>
      <c r="D12" s="8" t="n">
        <v>8</v>
      </c>
      <c r="E12" s="8" t="inlineStr">
        <is>
          <t>MRN-****-1402</t>
        </is>
      </c>
      <c r="F12" s="8" t="inlineStr">
        <is>
          <t>2026-06-24</t>
        </is>
      </c>
      <c r="G12" s="8" t="inlineStr">
        <is>
          <t>High RAF Patient</t>
        </is>
      </c>
      <c r="H12" s="8" t="inlineStr">
        <is>
          <t>Medicare Advantage</t>
        </is>
      </c>
      <c r="I12" s="8" t="inlineStr">
        <is>
          <t>Auditor A</t>
        </is>
      </c>
      <c r="J12" s="8" t="inlineStr">
        <is>
          <t>Pending</t>
        </is>
      </c>
    </row>
    <row r="13">
      <c r="A13" s="8" t="inlineStr">
        <is>
          <t>2026-07</t>
        </is>
      </c>
      <c r="B13" s="8" t="inlineStr">
        <is>
          <t>FM-001</t>
        </is>
      </c>
      <c r="C13" s="8" t="inlineStr">
        <is>
          <t>Dr. Provider One</t>
        </is>
      </c>
      <c r="D13" s="8" t="n">
        <v>9</v>
      </c>
      <c r="E13" s="8" t="inlineStr">
        <is>
          <t>MRN-****-1476</t>
        </is>
      </c>
      <c r="F13" s="8" t="inlineStr">
        <is>
          <t>2026-06-26</t>
        </is>
      </c>
      <c r="G13" s="8" t="inlineStr">
        <is>
          <t>High RAF Patient</t>
        </is>
      </c>
      <c r="H13" s="8" t="inlineStr">
        <is>
          <t>Medicare Advantage</t>
        </is>
      </c>
      <c r="I13" s="8" t="inlineStr">
        <is>
          <t>Auditor A</t>
        </is>
      </c>
      <c r="J13" s="8" t="inlineStr">
        <is>
          <t>Pending</t>
        </is>
      </c>
    </row>
    <row r="14">
      <c r="A14" s="8" t="inlineStr">
        <is>
          <t>2026-07</t>
        </is>
      </c>
      <c r="B14" s="8" t="inlineStr">
        <is>
          <t>FM-001</t>
        </is>
      </c>
      <c r="C14" s="8" t="inlineStr">
        <is>
          <t>Dr. Provider One</t>
        </is>
      </c>
      <c r="D14" s="8" t="n">
        <v>10</v>
      </c>
      <c r="E14" s="8" t="inlineStr">
        <is>
          <t>MRN-****-1523</t>
        </is>
      </c>
      <c r="F14" s="8" t="inlineStr">
        <is>
          <t>2026-06-28</t>
        </is>
      </c>
      <c r="G14" s="8" t="inlineStr">
        <is>
          <t>Random Selection</t>
        </is>
      </c>
      <c r="H14" s="8" t="inlineStr">
        <is>
          <t>Commercial</t>
        </is>
      </c>
      <c r="I14" s="8" t="inlineStr">
        <is>
          <t>Auditor A</t>
        </is>
      </c>
      <c r="J14" s="8" t="inlineStr">
        <is>
          <t>Pending</t>
        </is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</sheetData>
  <mergeCells count="2">
    <mergeCell ref="A1:J1"/>
    <mergeCell ref="A2:J2"/>
  </mergeCells>
  <dataValidations count="3">
    <dataValidation sqref="G5:G200" showDropDown="0" showInputMessage="0" showErrorMessage="0" allowBlank="1" type="list">
      <formula1>"Diabetes,Chronic Kidney Disease,Annual Wellness Visit,High RAF Patient,Random Selection"</formula1>
    </dataValidation>
    <dataValidation sqref="J5:J200" showDropDown="0" showInputMessage="0" showErrorMessage="0" allowBlank="1" type="list">
      <formula1>"Pending,In Progress,Complete,Re-Audit Required"</formula1>
    </dataValidation>
    <dataValidation sqref="H5:H200" showDropDown="0" showInputMessage="0" showErrorMessage="0" allowBlank="1" type="list">
      <formula1>"Medicare Advantage,Commercial,Medicaid,Dual"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766E"/>
    <outlinePr summaryBelow="1" summaryRight="1"/>
    <pageSetUpPr/>
  </sheetPr>
  <dimension ref="A1:N200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2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8" customWidth="1" min="12" max="12"/>
    <col width="40" customWidth="1" min="13" max="13"/>
    <col width="14" customWidth="1" min="14" max="14"/>
  </cols>
  <sheetData>
    <row r="1" ht="30" customHeight="1">
      <c r="A1" s="1" t="inlineStr">
        <is>
          <t>Chart-Level Audit Worksheet</t>
        </is>
      </c>
    </row>
    <row r="2" ht="20" customHeight="1">
      <c r="A2" s="2" t="inlineStr">
        <is>
          <t>Score each chart on the 5 weighted categories. Column Total auto-computes and Band auto-assigns.</t>
        </is>
      </c>
    </row>
    <row r="4" ht="46" customHeight="1">
      <c r="A4" s="7" t="inlineStr">
        <is>
          <t>Provider ID</t>
        </is>
      </c>
      <c r="B4" s="7" t="inlineStr">
        <is>
          <t>Chart #</t>
        </is>
      </c>
      <c r="C4" s="7" t="inlineStr">
        <is>
          <t>MRN (masked)</t>
        </is>
      </c>
      <c r="D4" s="7" t="inlineStr">
        <is>
          <t>DOS</t>
        </is>
      </c>
      <c r="E4" s="7" t="inlineStr">
        <is>
          <t>Category</t>
        </is>
      </c>
      <c r="F4" s="7" t="inlineStr">
        <is>
          <t>Diagnosis Accuracy (0-100) — 30%</t>
        </is>
      </c>
      <c r="G4" s="7" t="inlineStr">
        <is>
          <t>Doc Specificity (0-100) — 25%</t>
        </is>
      </c>
      <c r="H4" s="7" t="inlineStr">
        <is>
          <t>MEAT Support (0-100) — 25%</t>
        </is>
      </c>
      <c r="I4" s="7" t="inlineStr">
        <is>
          <t>HCC Capture (0-100) — 10%</t>
        </is>
      </c>
      <c r="J4" s="7" t="inlineStr">
        <is>
          <t>CPT II Reporting (0-100) — 10%</t>
        </is>
      </c>
      <c r="K4" s="7" t="inlineStr">
        <is>
          <t>Total Score</t>
        </is>
      </c>
      <c r="L4" s="7" t="inlineStr">
        <is>
          <t>Performance Band</t>
        </is>
      </c>
      <c r="M4" s="7" t="inlineStr">
        <is>
          <t>Findings / Notes</t>
        </is>
      </c>
      <c r="N4" s="7" t="inlineStr">
        <is>
          <t>Requires Re-Audit?</t>
        </is>
      </c>
    </row>
    <row r="5">
      <c r="A5" s="9" t="inlineStr">
        <is>
          <t>FM-001</t>
        </is>
      </c>
      <c r="B5" s="9" t="n">
        <v>1</v>
      </c>
      <c r="C5" s="9" t="inlineStr">
        <is>
          <t>MRN-****-0847</t>
        </is>
      </c>
      <c r="D5" s="9" t="inlineStr">
        <is>
          <t>2026-06-05</t>
        </is>
      </c>
      <c r="E5" s="9" t="inlineStr">
        <is>
          <t>Diabetes</t>
        </is>
      </c>
      <c r="F5" s="9" t="n"/>
      <c r="G5" s="9" t="n"/>
      <c r="H5" s="9" t="n"/>
      <c r="I5" s="9" t="n"/>
      <c r="J5" s="9" t="n"/>
      <c r="K5" s="9">
        <f>IF(COUNT(F5:J5)&lt;5,"",ROUND(F5*0.30+G5*0.25+H5*0.25+I5*0.10+J5*0.10,1))</f>
        <v/>
      </c>
      <c r="L5" s="9">
        <f>IF(K5="","",IF(K5&gt;=95,"Excellent",IF(K5&gt;=90,"Meets Expectations",IF(K5&gt;=80,"Needs Improvement","Corrective Education Required"))))</f>
        <v/>
      </c>
      <c r="M5" s="8" t="n"/>
      <c r="N5" s="9">
        <f>IF(K5="","",IF(K5&lt;80,"Yes","No"))</f>
        <v/>
      </c>
    </row>
    <row r="6">
      <c r="A6" s="9" t="inlineStr">
        <is>
          <t>FM-001</t>
        </is>
      </c>
      <c r="B6" s="9" t="n">
        <v>2</v>
      </c>
      <c r="C6" s="9" t="inlineStr">
        <is>
          <t>MRN-****-0912</t>
        </is>
      </c>
      <c r="D6" s="9" t="inlineStr">
        <is>
          <t>2026-06-08</t>
        </is>
      </c>
      <c r="E6" s="9" t="inlineStr">
        <is>
          <t>Diabetes</t>
        </is>
      </c>
      <c r="F6" s="9" t="n"/>
      <c r="G6" s="9" t="n"/>
      <c r="H6" s="9" t="n"/>
      <c r="I6" s="9" t="n"/>
      <c r="J6" s="9" t="n"/>
      <c r="K6" s="9">
        <f>IF(COUNT(F6:J6)&lt;5,"",ROUND(F6*0.30+G6*0.25+H6*0.25+I6*0.10+J6*0.10,1))</f>
        <v/>
      </c>
      <c r="L6" s="9">
        <f>IF(K6="","",IF(K6&gt;=95,"Excellent",IF(K6&gt;=90,"Meets Expectations",IF(K6&gt;=80,"Needs Improvement","Corrective Education Required"))))</f>
        <v/>
      </c>
      <c r="M6" s="8" t="n"/>
      <c r="N6" s="9">
        <f>IF(K6="","",IF(K6&lt;80,"Yes","No"))</f>
        <v/>
      </c>
    </row>
    <row r="7">
      <c r="A7" s="9" t="inlineStr">
        <is>
          <t>FM-001</t>
        </is>
      </c>
      <c r="B7" s="9" t="n">
        <v>3</v>
      </c>
      <c r="C7" s="9" t="inlineStr">
        <is>
          <t>MRN-****-1013</t>
        </is>
      </c>
      <c r="D7" s="9" t="inlineStr">
        <is>
          <t>2026-06-11</t>
        </is>
      </c>
      <c r="E7" s="9" t="inlineStr">
        <is>
          <t>Diabetes</t>
        </is>
      </c>
      <c r="F7" s="9" t="n"/>
      <c r="G7" s="9" t="n"/>
      <c r="H7" s="9" t="n"/>
      <c r="I7" s="9" t="n"/>
      <c r="J7" s="9" t="n"/>
      <c r="K7" s="9">
        <f>IF(COUNT(F7:J7)&lt;5,"",ROUND(F7*0.30+G7*0.25+H7*0.25+I7*0.10+J7*0.10,1))</f>
        <v/>
      </c>
      <c r="L7" s="9">
        <f>IF(K7="","",IF(K7&gt;=95,"Excellent",IF(K7&gt;=90,"Meets Expectations",IF(K7&gt;=80,"Needs Improvement","Corrective Education Required"))))</f>
        <v/>
      </c>
      <c r="M7" s="8" t="n"/>
      <c r="N7" s="9">
        <f>IF(K7="","",IF(K7&lt;80,"Yes","No"))</f>
        <v/>
      </c>
    </row>
    <row r="8">
      <c r="A8" s="9" t="inlineStr">
        <is>
          <t>FM-001</t>
        </is>
      </c>
      <c r="B8" s="9" t="n">
        <v>4</v>
      </c>
      <c r="C8" s="9" t="inlineStr">
        <is>
          <t>MRN-****-1156</t>
        </is>
      </c>
      <c r="D8" s="9" t="inlineStr">
        <is>
          <t>2026-06-14</t>
        </is>
      </c>
      <c r="E8" s="9" t="inlineStr">
        <is>
          <t>Chronic Kidney Disease</t>
        </is>
      </c>
      <c r="F8" s="9" t="n"/>
      <c r="G8" s="9" t="n"/>
      <c r="H8" s="9" t="n"/>
      <c r="I8" s="9" t="n"/>
      <c r="J8" s="9" t="n"/>
      <c r="K8" s="9">
        <f>IF(COUNT(F8:J8)&lt;5,"",ROUND(F8*0.30+G8*0.25+H8*0.25+I8*0.10+J8*0.10,1))</f>
        <v/>
      </c>
      <c r="L8" s="9">
        <f>IF(K8="","",IF(K8&gt;=95,"Excellent",IF(K8&gt;=90,"Meets Expectations",IF(K8&gt;=80,"Needs Improvement","Corrective Education Required"))))</f>
        <v/>
      </c>
      <c r="M8" s="8" t="n"/>
      <c r="N8" s="9">
        <f>IF(K8="","",IF(K8&lt;80,"Yes","No"))</f>
        <v/>
      </c>
    </row>
    <row r="9">
      <c r="A9" s="9" t="inlineStr">
        <is>
          <t>FM-001</t>
        </is>
      </c>
      <c r="B9" s="9" t="n">
        <v>5</v>
      </c>
      <c r="C9" s="9" t="inlineStr">
        <is>
          <t>MRN-****-1278</t>
        </is>
      </c>
      <c r="D9" s="9" t="inlineStr">
        <is>
          <t>2026-06-17</t>
        </is>
      </c>
      <c r="E9" s="9" t="inlineStr">
        <is>
          <t>Chronic Kidney Disease</t>
        </is>
      </c>
      <c r="F9" s="9" t="n"/>
      <c r="G9" s="9" t="n"/>
      <c r="H9" s="9" t="n"/>
      <c r="I9" s="9" t="n"/>
      <c r="J9" s="9" t="n"/>
      <c r="K9" s="9">
        <f>IF(COUNT(F9:J9)&lt;5,"",ROUND(F9*0.30+G9*0.25+H9*0.25+I9*0.10+J9*0.10,1))</f>
        <v/>
      </c>
      <c r="L9" s="9">
        <f>IF(K9="","",IF(K9&gt;=95,"Excellent",IF(K9&gt;=90,"Meets Expectations",IF(K9&gt;=80,"Needs Improvement","Corrective Education Required"))))</f>
        <v/>
      </c>
      <c r="M9" s="8" t="n"/>
      <c r="N9" s="9">
        <f>IF(K9="","",IF(K9&lt;80,"Yes","No"))</f>
        <v/>
      </c>
    </row>
    <row r="10">
      <c r="A10" s="9" t="inlineStr">
        <is>
          <t>FM-001</t>
        </is>
      </c>
      <c r="B10" s="9" t="n">
        <v>6</v>
      </c>
      <c r="C10" s="9" t="inlineStr">
        <is>
          <t>MRN-****-1301</t>
        </is>
      </c>
      <c r="D10" s="9" t="inlineStr">
        <is>
          <t>2026-06-19</t>
        </is>
      </c>
      <c r="E10" s="9" t="inlineStr">
        <is>
          <t>Annual Wellness Visit</t>
        </is>
      </c>
      <c r="F10" s="9" t="n"/>
      <c r="G10" s="9" t="n"/>
      <c r="H10" s="9" t="n"/>
      <c r="I10" s="9" t="n"/>
      <c r="J10" s="9" t="n"/>
      <c r="K10" s="9">
        <f>IF(COUNT(F10:J10)&lt;5,"",ROUND(F10*0.30+G10*0.25+H10*0.25+I10*0.10+J10*0.10,1))</f>
        <v/>
      </c>
      <c r="L10" s="9">
        <f>IF(K10="","",IF(K10&gt;=95,"Excellent",IF(K10&gt;=90,"Meets Expectations",IF(K10&gt;=80,"Needs Improvement","Corrective Education Required"))))</f>
        <v/>
      </c>
      <c r="M10" s="8" t="n"/>
      <c r="N10" s="9">
        <f>IF(K10="","",IF(K10&lt;80,"Yes","No"))</f>
        <v/>
      </c>
    </row>
    <row r="11">
      <c r="A11" s="9" t="inlineStr">
        <is>
          <t>FM-001</t>
        </is>
      </c>
      <c r="B11" s="9" t="n">
        <v>7</v>
      </c>
      <c r="C11" s="9" t="inlineStr">
        <is>
          <t>MRN-****-1355</t>
        </is>
      </c>
      <c r="D11" s="9" t="inlineStr">
        <is>
          <t>2026-06-22</t>
        </is>
      </c>
      <c r="E11" s="9" t="inlineStr">
        <is>
          <t>Annual Wellness Visit</t>
        </is>
      </c>
      <c r="F11" s="9" t="n"/>
      <c r="G11" s="9" t="n"/>
      <c r="H11" s="9" t="n"/>
      <c r="I11" s="9" t="n"/>
      <c r="J11" s="9" t="n"/>
      <c r="K11" s="9">
        <f>IF(COUNT(F11:J11)&lt;5,"",ROUND(F11*0.30+G11*0.25+H11*0.25+I11*0.10+J11*0.10,1))</f>
        <v/>
      </c>
      <c r="L11" s="9">
        <f>IF(K11="","",IF(K11&gt;=95,"Excellent",IF(K11&gt;=90,"Meets Expectations",IF(K11&gt;=80,"Needs Improvement","Corrective Education Required"))))</f>
        <v/>
      </c>
      <c r="M11" s="8" t="n"/>
      <c r="N11" s="9">
        <f>IF(K11="","",IF(K11&lt;80,"Yes","No"))</f>
        <v/>
      </c>
    </row>
    <row r="12">
      <c r="A12" s="9" t="inlineStr">
        <is>
          <t>FM-001</t>
        </is>
      </c>
      <c r="B12" s="9" t="n">
        <v>8</v>
      </c>
      <c r="C12" s="9" t="inlineStr">
        <is>
          <t>MRN-****-1402</t>
        </is>
      </c>
      <c r="D12" s="9" t="inlineStr">
        <is>
          <t>2026-06-24</t>
        </is>
      </c>
      <c r="E12" s="9" t="inlineStr">
        <is>
          <t>High RAF Patient</t>
        </is>
      </c>
      <c r="F12" s="9" t="n"/>
      <c r="G12" s="9" t="n"/>
      <c r="H12" s="9" t="n"/>
      <c r="I12" s="9" t="n"/>
      <c r="J12" s="9" t="n"/>
      <c r="K12" s="9">
        <f>IF(COUNT(F12:J12)&lt;5,"",ROUND(F12*0.30+G12*0.25+H12*0.25+I12*0.10+J12*0.10,1))</f>
        <v/>
      </c>
      <c r="L12" s="9">
        <f>IF(K12="","",IF(K12&gt;=95,"Excellent",IF(K12&gt;=90,"Meets Expectations",IF(K12&gt;=80,"Needs Improvement","Corrective Education Required"))))</f>
        <v/>
      </c>
      <c r="M12" s="8" t="n"/>
      <c r="N12" s="9">
        <f>IF(K12="","",IF(K12&lt;80,"Yes","No"))</f>
        <v/>
      </c>
    </row>
    <row r="13">
      <c r="A13" s="9" t="inlineStr">
        <is>
          <t>FM-001</t>
        </is>
      </c>
      <c r="B13" s="9" t="n">
        <v>9</v>
      </c>
      <c r="C13" s="9" t="inlineStr">
        <is>
          <t>MRN-****-1476</t>
        </is>
      </c>
      <c r="D13" s="9" t="inlineStr">
        <is>
          <t>2026-06-26</t>
        </is>
      </c>
      <c r="E13" s="9" t="inlineStr">
        <is>
          <t>High RAF Patient</t>
        </is>
      </c>
      <c r="F13" s="9" t="n"/>
      <c r="G13" s="9" t="n"/>
      <c r="H13" s="9" t="n"/>
      <c r="I13" s="9" t="n"/>
      <c r="J13" s="9" t="n"/>
      <c r="K13" s="9">
        <f>IF(COUNT(F13:J13)&lt;5,"",ROUND(F13*0.30+G13*0.25+H13*0.25+I13*0.10+J13*0.10,1))</f>
        <v/>
      </c>
      <c r="L13" s="9">
        <f>IF(K13="","",IF(K13&gt;=95,"Excellent",IF(K13&gt;=90,"Meets Expectations",IF(K13&gt;=80,"Needs Improvement","Corrective Education Required"))))</f>
        <v/>
      </c>
      <c r="M13" s="8" t="n"/>
      <c r="N13" s="9">
        <f>IF(K13="","",IF(K13&lt;80,"Yes","No"))</f>
        <v/>
      </c>
    </row>
    <row r="14">
      <c r="A14" s="9" t="inlineStr">
        <is>
          <t>FM-001</t>
        </is>
      </c>
      <c r="B14" s="9" t="n">
        <v>10</v>
      </c>
      <c r="C14" s="9" t="inlineStr">
        <is>
          <t>MRN-****-1523</t>
        </is>
      </c>
      <c r="D14" s="9" t="inlineStr">
        <is>
          <t>2026-06-28</t>
        </is>
      </c>
      <c r="E14" s="9" t="inlineStr">
        <is>
          <t>Random Selection</t>
        </is>
      </c>
      <c r="F14" s="9" t="n"/>
      <c r="G14" s="9" t="n"/>
      <c r="H14" s="9" t="n"/>
      <c r="I14" s="9" t="n"/>
      <c r="J14" s="9" t="n"/>
      <c r="K14" s="9">
        <f>IF(COUNT(F14:J14)&lt;5,"",ROUND(F14*0.30+G14*0.25+H14*0.25+I14*0.10+J14*0.10,1))</f>
        <v/>
      </c>
      <c r="L14" s="9">
        <f>IF(K14="","",IF(K14&gt;=95,"Excellent",IF(K14&gt;=90,"Meets Expectations",IF(K14&gt;=80,"Needs Improvement","Corrective Education Required"))))</f>
        <v/>
      </c>
      <c r="M14" s="8" t="n"/>
      <c r="N14" s="9">
        <f>IF(K14="","",IF(K14&lt;80,"Yes","No"))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>
        <f>IF(COUNT(F15:J15)&lt;5,"",ROUND(F15*0.30+G15*0.25+H15*0.25+I15*0.10+J15*0.10,1))</f>
        <v/>
      </c>
      <c r="L15" s="9">
        <f>IF(K15="","",IF(K15&gt;=95,"Excellent",IF(K15&gt;=90,"Meets Expectations",IF(K15&gt;=80,"Needs Improvement","Corrective Education Required"))))</f>
        <v/>
      </c>
      <c r="M15" s="8" t="n"/>
      <c r="N15" s="9">
        <f>IF(K15="","",IF(K15&lt;80,"Yes","No"))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>
        <f>IF(COUNT(F16:J16)&lt;5,"",ROUND(F16*0.30+G16*0.25+H16*0.25+I16*0.10+J16*0.10,1))</f>
        <v/>
      </c>
      <c r="L16" s="9">
        <f>IF(K16="","",IF(K16&gt;=95,"Excellent",IF(K16&gt;=90,"Meets Expectations",IF(K16&gt;=80,"Needs Improvement","Corrective Education Required"))))</f>
        <v/>
      </c>
      <c r="M16" s="8" t="n"/>
      <c r="N16" s="9">
        <f>IF(K16="","",IF(K16&lt;80,"Yes","No"))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>
        <f>IF(COUNT(F17:J17)&lt;5,"",ROUND(F17*0.30+G17*0.25+H17*0.25+I17*0.10+J17*0.10,1))</f>
        <v/>
      </c>
      <c r="L17" s="9">
        <f>IF(K17="","",IF(K17&gt;=95,"Excellent",IF(K17&gt;=90,"Meets Expectations",IF(K17&gt;=80,"Needs Improvement","Corrective Education Required"))))</f>
        <v/>
      </c>
      <c r="M17" s="8" t="n"/>
      <c r="N17" s="9">
        <f>IF(K17="","",IF(K17&lt;80,"Yes","No"))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>
        <f>IF(COUNT(F18:J18)&lt;5,"",ROUND(F18*0.30+G18*0.25+H18*0.25+I18*0.10+J18*0.10,1))</f>
        <v/>
      </c>
      <c r="L18" s="9">
        <f>IF(K18="","",IF(K18&gt;=95,"Excellent",IF(K18&gt;=90,"Meets Expectations",IF(K18&gt;=80,"Needs Improvement","Corrective Education Required"))))</f>
        <v/>
      </c>
      <c r="M18" s="8" t="n"/>
      <c r="N18" s="9">
        <f>IF(K18="","",IF(K18&lt;80,"Yes","No"))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>
        <f>IF(COUNT(F19:J19)&lt;5,"",ROUND(F19*0.30+G19*0.25+H19*0.25+I19*0.10+J19*0.10,1))</f>
        <v/>
      </c>
      <c r="L19" s="9">
        <f>IF(K19="","",IF(K19&gt;=95,"Excellent",IF(K19&gt;=90,"Meets Expectations",IF(K19&gt;=80,"Needs Improvement","Corrective Education Required"))))</f>
        <v/>
      </c>
      <c r="M19" s="8" t="n"/>
      <c r="N19" s="9">
        <f>IF(K19="","",IF(K19&lt;80,"Yes","No"))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>
        <f>IF(COUNT(F20:J20)&lt;5,"",ROUND(F20*0.30+G20*0.25+H20*0.25+I20*0.10+J20*0.10,1))</f>
        <v/>
      </c>
      <c r="L20" s="9">
        <f>IF(K20="","",IF(K20&gt;=95,"Excellent",IF(K20&gt;=90,"Meets Expectations",IF(K20&gt;=80,"Needs Improvement","Corrective Education Required"))))</f>
        <v/>
      </c>
      <c r="M20" s="8" t="n"/>
      <c r="N20" s="9">
        <f>IF(K20="","",IF(K20&lt;80,"Yes","No"))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>
        <f>IF(COUNT(F21:J21)&lt;5,"",ROUND(F21*0.30+G21*0.25+H21*0.25+I21*0.10+J21*0.10,1))</f>
        <v/>
      </c>
      <c r="L21" s="9">
        <f>IF(K21="","",IF(K21&gt;=95,"Excellent",IF(K21&gt;=90,"Meets Expectations",IF(K21&gt;=80,"Needs Improvement","Corrective Education Required"))))</f>
        <v/>
      </c>
      <c r="M21" s="8" t="n"/>
      <c r="N21" s="9">
        <f>IF(K21="","",IF(K21&lt;80,"Yes","No"))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>
        <f>IF(COUNT(F22:J22)&lt;5,"",ROUND(F22*0.30+G22*0.25+H22*0.25+I22*0.10+J22*0.10,1))</f>
        <v/>
      </c>
      <c r="L22" s="9">
        <f>IF(K22="","",IF(K22&gt;=95,"Excellent",IF(K22&gt;=90,"Meets Expectations",IF(K22&gt;=80,"Needs Improvement","Corrective Education Required"))))</f>
        <v/>
      </c>
      <c r="M22" s="8" t="n"/>
      <c r="N22" s="9">
        <f>IF(K22="","",IF(K22&lt;80,"Yes","No"))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>
        <f>IF(COUNT(F23:J23)&lt;5,"",ROUND(F23*0.30+G23*0.25+H23*0.25+I23*0.10+J23*0.10,1))</f>
        <v/>
      </c>
      <c r="L23" s="9">
        <f>IF(K23="","",IF(K23&gt;=95,"Excellent",IF(K23&gt;=90,"Meets Expectations",IF(K23&gt;=80,"Needs Improvement","Corrective Education Required"))))</f>
        <v/>
      </c>
      <c r="M23" s="8" t="n"/>
      <c r="N23" s="9">
        <f>IF(K23="","",IF(K23&lt;80,"Yes","No"))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>
        <f>IF(COUNT(F24:J24)&lt;5,"",ROUND(F24*0.30+G24*0.25+H24*0.25+I24*0.10+J24*0.10,1))</f>
        <v/>
      </c>
      <c r="L24" s="9">
        <f>IF(K24="","",IF(K24&gt;=95,"Excellent",IF(K24&gt;=90,"Meets Expectations",IF(K24&gt;=80,"Needs Improvement","Corrective Education Required"))))</f>
        <v/>
      </c>
      <c r="M24" s="8" t="n"/>
      <c r="N24" s="9">
        <f>IF(K24="","",IF(K24&lt;80,"Yes","No"))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>
        <f>IF(COUNT(F25:J25)&lt;5,"",ROUND(F25*0.30+G25*0.25+H25*0.25+I25*0.10+J25*0.10,1))</f>
        <v/>
      </c>
      <c r="L25" s="9">
        <f>IF(K25="","",IF(K25&gt;=95,"Excellent",IF(K25&gt;=90,"Meets Expectations",IF(K25&gt;=80,"Needs Improvement","Corrective Education Required"))))</f>
        <v/>
      </c>
      <c r="M25" s="8" t="n"/>
      <c r="N25" s="9">
        <f>IF(K25="","",IF(K25&lt;80,"Yes","No"))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>
        <f>IF(COUNT(F26:J26)&lt;5,"",ROUND(F26*0.30+G26*0.25+H26*0.25+I26*0.10+J26*0.10,1))</f>
        <v/>
      </c>
      <c r="L26" s="9">
        <f>IF(K26="","",IF(K26&gt;=95,"Excellent",IF(K26&gt;=90,"Meets Expectations",IF(K26&gt;=80,"Needs Improvement","Corrective Education Required"))))</f>
        <v/>
      </c>
      <c r="M26" s="8" t="n"/>
      <c r="N26" s="9">
        <f>IF(K26="","",IF(K26&lt;80,"Yes","No"))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>
        <f>IF(COUNT(F27:J27)&lt;5,"",ROUND(F27*0.30+G27*0.25+H27*0.25+I27*0.10+J27*0.10,1))</f>
        <v/>
      </c>
      <c r="L27" s="9">
        <f>IF(K27="","",IF(K27&gt;=95,"Excellent",IF(K27&gt;=90,"Meets Expectations",IF(K27&gt;=80,"Needs Improvement","Corrective Education Required"))))</f>
        <v/>
      </c>
      <c r="M27" s="8" t="n"/>
      <c r="N27" s="9">
        <f>IF(K27="","",IF(K27&lt;80,"Yes","No"))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>
        <f>IF(COUNT(F28:J28)&lt;5,"",ROUND(F28*0.30+G28*0.25+H28*0.25+I28*0.10+J28*0.10,1))</f>
        <v/>
      </c>
      <c r="L28" s="9">
        <f>IF(K28="","",IF(K28&gt;=95,"Excellent",IF(K28&gt;=90,"Meets Expectations",IF(K28&gt;=80,"Needs Improvement","Corrective Education Required"))))</f>
        <v/>
      </c>
      <c r="M28" s="8" t="n"/>
      <c r="N28" s="9">
        <f>IF(K28="","",IF(K28&lt;80,"Yes","No"))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>
        <f>IF(COUNT(F29:J29)&lt;5,"",ROUND(F29*0.30+G29*0.25+H29*0.25+I29*0.10+J29*0.10,1))</f>
        <v/>
      </c>
      <c r="L29" s="9">
        <f>IF(K29="","",IF(K29&gt;=95,"Excellent",IF(K29&gt;=90,"Meets Expectations",IF(K29&gt;=80,"Needs Improvement","Corrective Education Required"))))</f>
        <v/>
      </c>
      <c r="M29" s="8" t="n"/>
      <c r="N29" s="9">
        <f>IF(K29="","",IF(K29&lt;80,"Yes","No"))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>
        <f>IF(COUNT(F30:J30)&lt;5,"",ROUND(F30*0.30+G30*0.25+H30*0.25+I30*0.10+J30*0.10,1))</f>
        <v/>
      </c>
      <c r="L30" s="9">
        <f>IF(K30="","",IF(K30&gt;=95,"Excellent",IF(K30&gt;=90,"Meets Expectations",IF(K30&gt;=80,"Needs Improvement","Corrective Education Required"))))</f>
        <v/>
      </c>
      <c r="M30" s="8" t="n"/>
      <c r="N30" s="9">
        <f>IF(K30="","",IF(K30&lt;80,"Yes","No"))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>
        <f>IF(COUNT(F31:J31)&lt;5,"",ROUND(F31*0.30+G31*0.25+H31*0.25+I31*0.10+J31*0.10,1))</f>
        <v/>
      </c>
      <c r="L31" s="9">
        <f>IF(K31="","",IF(K31&gt;=95,"Excellent",IF(K31&gt;=90,"Meets Expectations",IF(K31&gt;=80,"Needs Improvement","Corrective Education Required"))))</f>
        <v/>
      </c>
      <c r="M31" s="8" t="n"/>
      <c r="N31" s="9">
        <f>IF(K31="","",IF(K31&lt;80,"Yes","No"))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>
        <f>IF(COUNT(F32:J32)&lt;5,"",ROUND(F32*0.30+G32*0.25+H32*0.25+I32*0.10+J32*0.10,1))</f>
        <v/>
      </c>
      <c r="L32" s="9">
        <f>IF(K32="","",IF(K32&gt;=95,"Excellent",IF(K32&gt;=90,"Meets Expectations",IF(K32&gt;=80,"Needs Improvement","Corrective Education Required"))))</f>
        <v/>
      </c>
      <c r="M32" s="8" t="n"/>
      <c r="N32" s="9">
        <f>IF(K32="","",IF(K32&lt;80,"Yes","No"))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>
        <f>IF(COUNT(F33:J33)&lt;5,"",ROUND(F33*0.30+G33*0.25+H33*0.25+I33*0.10+J33*0.10,1))</f>
        <v/>
      </c>
      <c r="L33" s="9">
        <f>IF(K33="","",IF(K33&gt;=95,"Excellent",IF(K33&gt;=90,"Meets Expectations",IF(K33&gt;=80,"Needs Improvement","Corrective Education Required"))))</f>
        <v/>
      </c>
      <c r="M33" s="8" t="n"/>
      <c r="N33" s="9">
        <f>IF(K33="","",IF(K33&lt;80,"Yes","No"))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>
        <f>IF(COUNT(F34:J34)&lt;5,"",ROUND(F34*0.30+G34*0.25+H34*0.25+I34*0.10+J34*0.10,1))</f>
        <v/>
      </c>
      <c r="L34" s="9">
        <f>IF(K34="","",IF(K34&gt;=95,"Excellent",IF(K34&gt;=90,"Meets Expectations",IF(K34&gt;=80,"Needs Improvement","Corrective Education Required"))))</f>
        <v/>
      </c>
      <c r="M34" s="8" t="n"/>
      <c r="N34" s="9">
        <f>IF(K34="","",IF(K34&lt;80,"Yes","No"))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>
        <f>IF(COUNT(F35:J35)&lt;5,"",ROUND(F35*0.30+G35*0.25+H35*0.25+I35*0.10+J35*0.10,1))</f>
        <v/>
      </c>
      <c r="L35" s="9">
        <f>IF(K35="","",IF(K35&gt;=95,"Excellent",IF(K35&gt;=90,"Meets Expectations",IF(K35&gt;=80,"Needs Improvement","Corrective Education Required"))))</f>
        <v/>
      </c>
      <c r="M35" s="8" t="n"/>
      <c r="N35" s="9">
        <f>IF(K35="","",IF(K35&lt;80,"Yes","No"))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>
        <f>IF(COUNT(F36:J36)&lt;5,"",ROUND(F36*0.30+G36*0.25+H36*0.25+I36*0.10+J36*0.10,1))</f>
        <v/>
      </c>
      <c r="L36" s="9">
        <f>IF(K36="","",IF(K36&gt;=95,"Excellent",IF(K36&gt;=90,"Meets Expectations",IF(K36&gt;=80,"Needs Improvement","Corrective Education Required"))))</f>
        <v/>
      </c>
      <c r="M36" s="8" t="n"/>
      <c r="N36" s="9">
        <f>IF(K36="","",IF(K36&lt;80,"Yes","No"))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>
        <f>IF(COUNT(F37:J37)&lt;5,"",ROUND(F37*0.30+G37*0.25+H37*0.25+I37*0.10+J37*0.10,1))</f>
        <v/>
      </c>
      <c r="L37" s="9">
        <f>IF(K37="","",IF(K37&gt;=95,"Excellent",IF(K37&gt;=90,"Meets Expectations",IF(K37&gt;=80,"Needs Improvement","Corrective Education Required"))))</f>
        <v/>
      </c>
      <c r="M37" s="8" t="n"/>
      <c r="N37" s="9">
        <f>IF(K37="","",IF(K37&lt;80,"Yes","No"))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>
        <f>IF(COUNT(F38:J38)&lt;5,"",ROUND(F38*0.30+G38*0.25+H38*0.25+I38*0.10+J38*0.10,1))</f>
        <v/>
      </c>
      <c r="L38" s="9">
        <f>IF(K38="","",IF(K38&gt;=95,"Excellent",IF(K38&gt;=90,"Meets Expectations",IF(K38&gt;=80,"Needs Improvement","Corrective Education Required"))))</f>
        <v/>
      </c>
      <c r="M38" s="8" t="n"/>
      <c r="N38" s="9">
        <f>IF(K38="","",IF(K38&lt;80,"Yes","No"))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>
        <f>IF(COUNT(F39:J39)&lt;5,"",ROUND(F39*0.30+G39*0.25+H39*0.25+I39*0.10+J39*0.10,1))</f>
        <v/>
      </c>
      <c r="L39" s="9">
        <f>IF(K39="","",IF(K39&gt;=95,"Excellent",IF(K39&gt;=90,"Meets Expectations",IF(K39&gt;=80,"Needs Improvement","Corrective Education Required"))))</f>
        <v/>
      </c>
      <c r="M39" s="8" t="n"/>
      <c r="N39" s="9">
        <f>IF(K39="","",IF(K39&lt;80,"Yes","No"))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>
        <f>IF(COUNT(F40:J40)&lt;5,"",ROUND(F40*0.30+G40*0.25+H40*0.25+I40*0.10+J40*0.10,1))</f>
        <v/>
      </c>
      <c r="L40" s="9">
        <f>IF(K40="","",IF(K40&gt;=95,"Excellent",IF(K40&gt;=90,"Meets Expectations",IF(K40&gt;=80,"Needs Improvement","Corrective Education Required"))))</f>
        <v/>
      </c>
      <c r="M40" s="8" t="n"/>
      <c r="N40" s="9">
        <f>IF(K40="","",IF(K40&lt;80,"Yes","No"))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>
        <f>IF(COUNT(F41:J41)&lt;5,"",ROUND(F41*0.30+G41*0.25+H41*0.25+I41*0.10+J41*0.10,1))</f>
        <v/>
      </c>
      <c r="L41" s="9">
        <f>IF(K41="","",IF(K41&gt;=95,"Excellent",IF(K41&gt;=90,"Meets Expectations",IF(K41&gt;=80,"Needs Improvement","Corrective Education Required"))))</f>
        <v/>
      </c>
      <c r="M41" s="8" t="n"/>
      <c r="N41" s="9">
        <f>IF(K41="","",IF(K41&lt;80,"Yes","No"))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>
        <f>IF(COUNT(F42:J42)&lt;5,"",ROUND(F42*0.30+G42*0.25+H42*0.25+I42*0.10+J42*0.10,1))</f>
        <v/>
      </c>
      <c r="L42" s="9">
        <f>IF(K42="","",IF(K42&gt;=95,"Excellent",IF(K42&gt;=90,"Meets Expectations",IF(K42&gt;=80,"Needs Improvement","Corrective Education Required"))))</f>
        <v/>
      </c>
      <c r="M42" s="8" t="n"/>
      <c r="N42" s="9">
        <f>IF(K42="","",IF(K42&lt;80,"Yes","No"))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>
        <f>IF(COUNT(F43:J43)&lt;5,"",ROUND(F43*0.30+G43*0.25+H43*0.25+I43*0.10+J43*0.10,1))</f>
        <v/>
      </c>
      <c r="L43" s="9">
        <f>IF(K43="","",IF(K43&gt;=95,"Excellent",IF(K43&gt;=90,"Meets Expectations",IF(K43&gt;=80,"Needs Improvement","Corrective Education Required"))))</f>
        <v/>
      </c>
      <c r="M43" s="8" t="n"/>
      <c r="N43" s="9">
        <f>IF(K43="","",IF(K43&lt;80,"Yes","No"))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>
        <f>IF(COUNT(F44:J44)&lt;5,"",ROUND(F44*0.30+G44*0.25+H44*0.25+I44*0.10+J44*0.10,1))</f>
        <v/>
      </c>
      <c r="L44" s="9">
        <f>IF(K44="","",IF(K44&gt;=95,"Excellent",IF(K44&gt;=90,"Meets Expectations",IF(K44&gt;=80,"Needs Improvement","Corrective Education Required"))))</f>
        <v/>
      </c>
      <c r="M44" s="8" t="n"/>
      <c r="N44" s="9">
        <f>IF(K44="","",IF(K44&lt;80,"Yes","No"))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>
        <f>IF(COUNT(F45:J45)&lt;5,"",ROUND(F45*0.30+G45*0.25+H45*0.25+I45*0.10+J45*0.10,1))</f>
        <v/>
      </c>
      <c r="L45" s="9">
        <f>IF(K45="","",IF(K45&gt;=95,"Excellent",IF(K45&gt;=90,"Meets Expectations",IF(K45&gt;=80,"Needs Improvement","Corrective Education Required"))))</f>
        <v/>
      </c>
      <c r="M45" s="8" t="n"/>
      <c r="N45" s="9">
        <f>IF(K45="","",IF(K45&lt;80,"Yes","No"))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>
        <f>IF(COUNT(F46:J46)&lt;5,"",ROUND(F46*0.30+G46*0.25+H46*0.25+I46*0.10+J46*0.10,1))</f>
        <v/>
      </c>
      <c r="L46" s="9">
        <f>IF(K46="","",IF(K46&gt;=95,"Excellent",IF(K46&gt;=90,"Meets Expectations",IF(K46&gt;=80,"Needs Improvement","Corrective Education Required"))))</f>
        <v/>
      </c>
      <c r="M46" s="8" t="n"/>
      <c r="N46" s="9">
        <f>IF(K46="","",IF(K46&lt;80,"Yes","No"))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>
        <f>IF(COUNT(F47:J47)&lt;5,"",ROUND(F47*0.30+G47*0.25+H47*0.25+I47*0.10+J47*0.10,1))</f>
        <v/>
      </c>
      <c r="L47" s="9">
        <f>IF(K47="","",IF(K47&gt;=95,"Excellent",IF(K47&gt;=90,"Meets Expectations",IF(K47&gt;=80,"Needs Improvement","Corrective Education Required"))))</f>
        <v/>
      </c>
      <c r="M47" s="8" t="n"/>
      <c r="N47" s="9">
        <f>IF(K47="","",IF(K47&lt;80,"Yes","No"))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>
        <f>IF(COUNT(F48:J48)&lt;5,"",ROUND(F48*0.30+G48*0.25+H48*0.25+I48*0.10+J48*0.10,1))</f>
        <v/>
      </c>
      <c r="L48" s="9">
        <f>IF(K48="","",IF(K48&gt;=95,"Excellent",IF(K48&gt;=90,"Meets Expectations",IF(K48&gt;=80,"Needs Improvement","Corrective Education Required"))))</f>
        <v/>
      </c>
      <c r="M48" s="8" t="n"/>
      <c r="N48" s="9">
        <f>IF(K48="","",IF(K48&lt;80,"Yes","No"))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>
        <f>IF(COUNT(F49:J49)&lt;5,"",ROUND(F49*0.30+G49*0.25+H49*0.25+I49*0.10+J49*0.10,1))</f>
        <v/>
      </c>
      <c r="L49" s="9">
        <f>IF(K49="","",IF(K49&gt;=95,"Excellent",IF(K49&gt;=90,"Meets Expectations",IF(K49&gt;=80,"Needs Improvement","Corrective Education Required"))))</f>
        <v/>
      </c>
      <c r="M49" s="8" t="n"/>
      <c r="N49" s="9">
        <f>IF(K49="","",IF(K49&lt;80,"Yes","No"))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>
        <f>IF(COUNT(F50:J50)&lt;5,"",ROUND(F50*0.30+G50*0.25+H50*0.25+I50*0.10+J50*0.10,1))</f>
        <v/>
      </c>
      <c r="L50" s="9">
        <f>IF(K50="","",IF(K50&gt;=95,"Excellent",IF(K50&gt;=90,"Meets Expectations",IF(K50&gt;=80,"Needs Improvement","Corrective Education Required"))))</f>
        <v/>
      </c>
      <c r="M50" s="8" t="n"/>
      <c r="N50" s="9">
        <f>IF(K50="","",IF(K50&lt;80,"Yes","No"))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>
        <f>IF(COUNT(F51:J51)&lt;5,"",ROUND(F51*0.30+G51*0.25+H51*0.25+I51*0.10+J51*0.10,1))</f>
        <v/>
      </c>
      <c r="L51" s="9">
        <f>IF(K51="","",IF(K51&gt;=95,"Excellent",IF(K51&gt;=90,"Meets Expectations",IF(K51&gt;=80,"Needs Improvement","Corrective Education Required"))))</f>
        <v/>
      </c>
      <c r="M51" s="8" t="n"/>
      <c r="N51" s="9">
        <f>IF(K51="","",IF(K51&lt;80,"Yes","No"))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>
        <f>IF(COUNT(F52:J52)&lt;5,"",ROUND(F52*0.30+G52*0.25+H52*0.25+I52*0.10+J52*0.10,1))</f>
        <v/>
      </c>
      <c r="L52" s="9">
        <f>IF(K52="","",IF(K52&gt;=95,"Excellent",IF(K52&gt;=90,"Meets Expectations",IF(K52&gt;=80,"Needs Improvement","Corrective Education Required"))))</f>
        <v/>
      </c>
      <c r="M52" s="8" t="n"/>
      <c r="N52" s="9">
        <f>IF(K52="","",IF(K52&lt;80,"Yes","No"))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>
        <f>IF(COUNT(F53:J53)&lt;5,"",ROUND(F53*0.30+G53*0.25+H53*0.25+I53*0.10+J53*0.10,1))</f>
        <v/>
      </c>
      <c r="L53" s="9">
        <f>IF(K53="","",IF(K53&gt;=95,"Excellent",IF(K53&gt;=90,"Meets Expectations",IF(K53&gt;=80,"Needs Improvement","Corrective Education Required"))))</f>
        <v/>
      </c>
      <c r="M53" s="8" t="n"/>
      <c r="N53" s="9">
        <f>IF(K53="","",IF(K53&lt;80,"Yes","No"))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>
        <f>IF(COUNT(F54:J54)&lt;5,"",ROUND(F54*0.30+G54*0.25+H54*0.25+I54*0.10+J54*0.10,1))</f>
        <v/>
      </c>
      <c r="L54" s="9">
        <f>IF(K54="","",IF(K54&gt;=95,"Excellent",IF(K54&gt;=90,"Meets Expectations",IF(K54&gt;=80,"Needs Improvement","Corrective Education Required"))))</f>
        <v/>
      </c>
      <c r="M54" s="8" t="n"/>
      <c r="N54" s="9">
        <f>IF(K54="","",IF(K54&lt;80,"Yes","No"))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>
        <f>IF(COUNT(F55:J55)&lt;5,"",ROUND(F55*0.30+G55*0.25+H55*0.25+I55*0.10+J55*0.10,1))</f>
        <v/>
      </c>
      <c r="L55" s="9">
        <f>IF(K55="","",IF(K55&gt;=95,"Excellent",IF(K55&gt;=90,"Meets Expectations",IF(K55&gt;=80,"Needs Improvement","Corrective Education Required"))))</f>
        <v/>
      </c>
      <c r="M55" s="8" t="n"/>
      <c r="N55" s="9">
        <f>IF(K55="","",IF(K55&lt;80,"Yes","No"))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>
        <f>IF(COUNT(F56:J56)&lt;5,"",ROUND(F56*0.30+G56*0.25+H56*0.25+I56*0.10+J56*0.10,1))</f>
        <v/>
      </c>
      <c r="L56" s="9">
        <f>IF(K56="","",IF(K56&gt;=95,"Excellent",IF(K56&gt;=90,"Meets Expectations",IF(K56&gt;=80,"Needs Improvement","Corrective Education Required"))))</f>
        <v/>
      </c>
      <c r="M56" s="8" t="n"/>
      <c r="N56" s="9">
        <f>IF(K56="","",IF(K56&lt;80,"Yes","No"))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>
        <f>IF(COUNT(F57:J57)&lt;5,"",ROUND(F57*0.30+G57*0.25+H57*0.25+I57*0.10+J57*0.10,1))</f>
        <v/>
      </c>
      <c r="L57" s="9">
        <f>IF(K57="","",IF(K57&gt;=95,"Excellent",IF(K57&gt;=90,"Meets Expectations",IF(K57&gt;=80,"Needs Improvement","Corrective Education Required"))))</f>
        <v/>
      </c>
      <c r="M57" s="8" t="n"/>
      <c r="N57" s="9">
        <f>IF(K57="","",IF(K57&lt;80,"Yes","No"))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>
        <f>IF(COUNT(F58:J58)&lt;5,"",ROUND(F58*0.30+G58*0.25+H58*0.25+I58*0.10+J58*0.10,1))</f>
        <v/>
      </c>
      <c r="L58" s="9">
        <f>IF(K58="","",IF(K58&gt;=95,"Excellent",IF(K58&gt;=90,"Meets Expectations",IF(K58&gt;=80,"Needs Improvement","Corrective Education Required"))))</f>
        <v/>
      </c>
      <c r="M58" s="8" t="n"/>
      <c r="N58" s="9">
        <f>IF(K58="","",IF(K58&lt;80,"Yes","No"))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>
        <f>IF(COUNT(F59:J59)&lt;5,"",ROUND(F59*0.30+G59*0.25+H59*0.25+I59*0.10+J59*0.10,1))</f>
        <v/>
      </c>
      <c r="L59" s="9">
        <f>IF(K59="","",IF(K59&gt;=95,"Excellent",IF(K59&gt;=90,"Meets Expectations",IF(K59&gt;=80,"Needs Improvement","Corrective Education Required"))))</f>
        <v/>
      </c>
      <c r="M59" s="8" t="n"/>
      <c r="N59" s="9">
        <f>IF(K59="","",IF(K59&lt;80,"Yes","No"))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>
        <f>IF(COUNT(F60:J60)&lt;5,"",ROUND(F60*0.30+G60*0.25+H60*0.25+I60*0.10+J60*0.10,1))</f>
        <v/>
      </c>
      <c r="L60" s="9">
        <f>IF(K60="","",IF(K60&gt;=95,"Excellent",IF(K60&gt;=90,"Meets Expectations",IF(K60&gt;=80,"Needs Improvement","Corrective Education Required"))))</f>
        <v/>
      </c>
      <c r="M60" s="8" t="n"/>
      <c r="N60" s="9">
        <f>IF(K60="","",IF(K60&lt;80,"Yes","No"))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>
        <f>IF(COUNT(F61:J61)&lt;5,"",ROUND(F61*0.30+G61*0.25+H61*0.25+I61*0.10+J61*0.10,1))</f>
        <v/>
      </c>
      <c r="L61" s="9">
        <f>IF(K61="","",IF(K61&gt;=95,"Excellent",IF(K61&gt;=90,"Meets Expectations",IF(K61&gt;=80,"Needs Improvement","Corrective Education Required"))))</f>
        <v/>
      </c>
      <c r="M61" s="8" t="n"/>
      <c r="N61" s="9">
        <f>IF(K61="","",IF(K61&lt;80,"Yes","No"))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>
        <f>IF(COUNT(F62:J62)&lt;5,"",ROUND(F62*0.30+G62*0.25+H62*0.25+I62*0.10+J62*0.10,1))</f>
        <v/>
      </c>
      <c r="L62" s="9">
        <f>IF(K62="","",IF(K62&gt;=95,"Excellent",IF(K62&gt;=90,"Meets Expectations",IF(K62&gt;=80,"Needs Improvement","Corrective Education Required"))))</f>
        <v/>
      </c>
      <c r="M62" s="8" t="n"/>
      <c r="N62" s="9">
        <f>IF(K62="","",IF(K62&lt;80,"Yes","No"))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>
        <f>IF(COUNT(F63:J63)&lt;5,"",ROUND(F63*0.30+G63*0.25+H63*0.25+I63*0.10+J63*0.10,1))</f>
        <v/>
      </c>
      <c r="L63" s="9">
        <f>IF(K63="","",IF(K63&gt;=95,"Excellent",IF(K63&gt;=90,"Meets Expectations",IF(K63&gt;=80,"Needs Improvement","Corrective Education Required"))))</f>
        <v/>
      </c>
      <c r="M63" s="8" t="n"/>
      <c r="N63" s="9">
        <f>IF(K63="","",IF(K63&lt;80,"Yes","No"))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>
        <f>IF(COUNT(F64:J64)&lt;5,"",ROUND(F64*0.30+G64*0.25+H64*0.25+I64*0.10+J64*0.10,1))</f>
        <v/>
      </c>
      <c r="L64" s="9">
        <f>IF(K64="","",IF(K64&gt;=95,"Excellent",IF(K64&gt;=90,"Meets Expectations",IF(K64&gt;=80,"Needs Improvement","Corrective Education Required"))))</f>
        <v/>
      </c>
      <c r="M64" s="8" t="n"/>
      <c r="N64" s="9">
        <f>IF(K64="","",IF(K64&lt;80,"Yes","No"))</f>
        <v/>
      </c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>
        <f>IF(COUNT(F65:J65)&lt;5,"",ROUND(F65*0.30+G65*0.25+H65*0.25+I65*0.10+J65*0.10,1))</f>
        <v/>
      </c>
      <c r="L65" s="9">
        <f>IF(K65="","",IF(K65&gt;=95,"Excellent",IF(K65&gt;=90,"Meets Expectations",IF(K65&gt;=80,"Needs Improvement","Corrective Education Required"))))</f>
        <v/>
      </c>
      <c r="M65" s="8" t="n"/>
      <c r="N65" s="9">
        <f>IF(K65="","",IF(K65&lt;80,"Yes","No"))</f>
        <v/>
      </c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>
        <f>IF(COUNT(F66:J66)&lt;5,"",ROUND(F66*0.30+G66*0.25+H66*0.25+I66*0.10+J66*0.10,1))</f>
        <v/>
      </c>
      <c r="L66" s="9">
        <f>IF(K66="","",IF(K66&gt;=95,"Excellent",IF(K66&gt;=90,"Meets Expectations",IF(K66&gt;=80,"Needs Improvement","Corrective Education Required"))))</f>
        <v/>
      </c>
      <c r="M66" s="8" t="n"/>
      <c r="N66" s="9">
        <f>IF(K66="","",IF(K66&lt;80,"Yes","No"))</f>
        <v/>
      </c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>
        <f>IF(COUNT(F67:J67)&lt;5,"",ROUND(F67*0.30+G67*0.25+H67*0.25+I67*0.10+J67*0.10,1))</f>
        <v/>
      </c>
      <c r="L67" s="9">
        <f>IF(K67="","",IF(K67&gt;=95,"Excellent",IF(K67&gt;=90,"Meets Expectations",IF(K67&gt;=80,"Needs Improvement","Corrective Education Required"))))</f>
        <v/>
      </c>
      <c r="M67" s="8" t="n"/>
      <c r="N67" s="9">
        <f>IF(K67="","",IF(K67&lt;80,"Yes","No"))</f>
        <v/>
      </c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>
        <f>IF(COUNT(F68:J68)&lt;5,"",ROUND(F68*0.30+G68*0.25+H68*0.25+I68*0.10+J68*0.10,1))</f>
        <v/>
      </c>
      <c r="L68" s="9">
        <f>IF(K68="","",IF(K68&gt;=95,"Excellent",IF(K68&gt;=90,"Meets Expectations",IF(K68&gt;=80,"Needs Improvement","Corrective Education Required"))))</f>
        <v/>
      </c>
      <c r="M68" s="8" t="n"/>
      <c r="N68" s="9">
        <f>IF(K68="","",IF(K68&lt;80,"Yes","No"))</f>
        <v/>
      </c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>
        <f>IF(COUNT(F69:J69)&lt;5,"",ROUND(F69*0.30+G69*0.25+H69*0.25+I69*0.10+J69*0.10,1))</f>
        <v/>
      </c>
      <c r="L69" s="9">
        <f>IF(K69="","",IF(K69&gt;=95,"Excellent",IF(K69&gt;=90,"Meets Expectations",IF(K69&gt;=80,"Needs Improvement","Corrective Education Required"))))</f>
        <v/>
      </c>
      <c r="M69" s="8" t="n"/>
      <c r="N69" s="9">
        <f>IF(K69="","",IF(K69&lt;80,"Yes","No"))</f>
        <v/>
      </c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>
        <f>IF(COUNT(F70:J70)&lt;5,"",ROUND(F70*0.30+G70*0.25+H70*0.25+I70*0.10+J70*0.10,1))</f>
        <v/>
      </c>
      <c r="L70" s="9">
        <f>IF(K70="","",IF(K70&gt;=95,"Excellent",IF(K70&gt;=90,"Meets Expectations",IF(K70&gt;=80,"Needs Improvement","Corrective Education Required"))))</f>
        <v/>
      </c>
      <c r="M70" s="8" t="n"/>
      <c r="N70" s="9">
        <f>IF(K70="","",IF(K70&lt;80,"Yes","No"))</f>
        <v/>
      </c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>
        <f>IF(COUNT(F71:J71)&lt;5,"",ROUND(F71*0.30+G71*0.25+H71*0.25+I71*0.10+J71*0.10,1))</f>
        <v/>
      </c>
      <c r="L71" s="9">
        <f>IF(K71="","",IF(K71&gt;=95,"Excellent",IF(K71&gt;=90,"Meets Expectations",IF(K71&gt;=80,"Needs Improvement","Corrective Education Required"))))</f>
        <v/>
      </c>
      <c r="M71" s="8" t="n"/>
      <c r="N71" s="9">
        <f>IF(K71="","",IF(K71&lt;80,"Yes","No"))</f>
        <v/>
      </c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>
        <f>IF(COUNT(F72:J72)&lt;5,"",ROUND(F72*0.30+G72*0.25+H72*0.25+I72*0.10+J72*0.10,1))</f>
        <v/>
      </c>
      <c r="L72" s="9">
        <f>IF(K72="","",IF(K72&gt;=95,"Excellent",IF(K72&gt;=90,"Meets Expectations",IF(K72&gt;=80,"Needs Improvement","Corrective Education Required"))))</f>
        <v/>
      </c>
      <c r="M72" s="8" t="n"/>
      <c r="N72" s="9">
        <f>IF(K72="","",IF(K72&lt;80,"Yes","No"))</f>
        <v/>
      </c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>
        <f>IF(COUNT(F73:J73)&lt;5,"",ROUND(F73*0.30+G73*0.25+H73*0.25+I73*0.10+J73*0.10,1))</f>
        <v/>
      </c>
      <c r="L73" s="9">
        <f>IF(K73="","",IF(K73&gt;=95,"Excellent",IF(K73&gt;=90,"Meets Expectations",IF(K73&gt;=80,"Needs Improvement","Corrective Education Required"))))</f>
        <v/>
      </c>
      <c r="M73" s="8" t="n"/>
      <c r="N73" s="9">
        <f>IF(K73="","",IF(K73&lt;80,"Yes","No"))</f>
        <v/>
      </c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>
        <f>IF(COUNT(F74:J74)&lt;5,"",ROUND(F74*0.30+G74*0.25+H74*0.25+I74*0.10+J74*0.10,1))</f>
        <v/>
      </c>
      <c r="L74" s="9">
        <f>IF(K74="","",IF(K74&gt;=95,"Excellent",IF(K74&gt;=90,"Meets Expectations",IF(K74&gt;=80,"Needs Improvement","Corrective Education Required"))))</f>
        <v/>
      </c>
      <c r="M74" s="8" t="n"/>
      <c r="N74" s="9">
        <f>IF(K74="","",IF(K74&lt;80,"Yes","No"))</f>
        <v/>
      </c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>
        <f>IF(COUNT(F75:J75)&lt;5,"",ROUND(F75*0.30+G75*0.25+H75*0.25+I75*0.10+J75*0.10,1))</f>
        <v/>
      </c>
      <c r="L75" s="9">
        <f>IF(K75="","",IF(K75&gt;=95,"Excellent",IF(K75&gt;=90,"Meets Expectations",IF(K75&gt;=80,"Needs Improvement","Corrective Education Required"))))</f>
        <v/>
      </c>
      <c r="M75" s="8" t="n"/>
      <c r="N75" s="9">
        <f>IF(K75="","",IF(K75&lt;80,"Yes","No"))</f>
        <v/>
      </c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>
        <f>IF(COUNT(F76:J76)&lt;5,"",ROUND(F76*0.30+G76*0.25+H76*0.25+I76*0.10+J76*0.10,1))</f>
        <v/>
      </c>
      <c r="L76" s="9">
        <f>IF(K76="","",IF(K76&gt;=95,"Excellent",IF(K76&gt;=90,"Meets Expectations",IF(K76&gt;=80,"Needs Improvement","Corrective Education Required"))))</f>
        <v/>
      </c>
      <c r="M76" s="8" t="n"/>
      <c r="N76" s="9">
        <f>IF(K76="","",IF(K76&lt;80,"Yes","No"))</f>
        <v/>
      </c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>
        <f>IF(COUNT(F77:J77)&lt;5,"",ROUND(F77*0.30+G77*0.25+H77*0.25+I77*0.10+J77*0.10,1))</f>
        <v/>
      </c>
      <c r="L77" s="9">
        <f>IF(K77="","",IF(K77&gt;=95,"Excellent",IF(K77&gt;=90,"Meets Expectations",IF(K77&gt;=80,"Needs Improvement","Corrective Education Required"))))</f>
        <v/>
      </c>
      <c r="M77" s="8" t="n"/>
      <c r="N77" s="9">
        <f>IF(K77="","",IF(K77&lt;80,"Yes","No"))</f>
        <v/>
      </c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>
        <f>IF(COUNT(F78:J78)&lt;5,"",ROUND(F78*0.30+G78*0.25+H78*0.25+I78*0.10+J78*0.10,1))</f>
        <v/>
      </c>
      <c r="L78" s="9">
        <f>IF(K78="","",IF(K78&gt;=95,"Excellent",IF(K78&gt;=90,"Meets Expectations",IF(K78&gt;=80,"Needs Improvement","Corrective Education Required"))))</f>
        <v/>
      </c>
      <c r="M78" s="8" t="n"/>
      <c r="N78" s="9">
        <f>IF(K78="","",IF(K78&lt;80,"Yes","No"))</f>
        <v/>
      </c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>
        <f>IF(COUNT(F79:J79)&lt;5,"",ROUND(F79*0.30+G79*0.25+H79*0.25+I79*0.10+J79*0.10,1))</f>
        <v/>
      </c>
      <c r="L79" s="9">
        <f>IF(K79="","",IF(K79&gt;=95,"Excellent",IF(K79&gt;=90,"Meets Expectations",IF(K79&gt;=80,"Needs Improvement","Corrective Education Required"))))</f>
        <v/>
      </c>
      <c r="M79" s="8" t="n"/>
      <c r="N79" s="9">
        <f>IF(K79="","",IF(K79&lt;80,"Yes","No"))</f>
        <v/>
      </c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>
        <f>IF(COUNT(F80:J80)&lt;5,"",ROUND(F80*0.30+G80*0.25+H80*0.25+I80*0.10+J80*0.10,1))</f>
        <v/>
      </c>
      <c r="L80" s="9">
        <f>IF(K80="","",IF(K80&gt;=95,"Excellent",IF(K80&gt;=90,"Meets Expectations",IF(K80&gt;=80,"Needs Improvement","Corrective Education Required"))))</f>
        <v/>
      </c>
      <c r="M80" s="8" t="n"/>
      <c r="N80" s="9">
        <f>IF(K80="","",IF(K80&lt;80,"Yes","No"))</f>
        <v/>
      </c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>
        <f>IF(COUNT(F81:J81)&lt;5,"",ROUND(F81*0.30+G81*0.25+H81*0.25+I81*0.10+J81*0.10,1))</f>
        <v/>
      </c>
      <c r="L81" s="9">
        <f>IF(K81="","",IF(K81&gt;=95,"Excellent",IF(K81&gt;=90,"Meets Expectations",IF(K81&gt;=80,"Needs Improvement","Corrective Education Required"))))</f>
        <v/>
      </c>
      <c r="M81" s="8" t="n"/>
      <c r="N81" s="9">
        <f>IF(K81="","",IF(K81&lt;80,"Yes","No"))</f>
        <v/>
      </c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>
        <f>IF(COUNT(F82:J82)&lt;5,"",ROUND(F82*0.30+G82*0.25+H82*0.25+I82*0.10+J82*0.10,1))</f>
        <v/>
      </c>
      <c r="L82" s="9">
        <f>IF(K82="","",IF(K82&gt;=95,"Excellent",IF(K82&gt;=90,"Meets Expectations",IF(K82&gt;=80,"Needs Improvement","Corrective Education Required"))))</f>
        <v/>
      </c>
      <c r="M82" s="8" t="n"/>
      <c r="N82" s="9">
        <f>IF(K82="","",IF(K82&lt;80,"Yes","No"))</f>
        <v/>
      </c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>
        <f>IF(COUNT(F83:J83)&lt;5,"",ROUND(F83*0.30+G83*0.25+H83*0.25+I83*0.10+J83*0.10,1))</f>
        <v/>
      </c>
      <c r="L83" s="9">
        <f>IF(K83="","",IF(K83&gt;=95,"Excellent",IF(K83&gt;=90,"Meets Expectations",IF(K83&gt;=80,"Needs Improvement","Corrective Education Required"))))</f>
        <v/>
      </c>
      <c r="M83" s="8" t="n"/>
      <c r="N83" s="9">
        <f>IF(K83="","",IF(K83&lt;80,"Yes","No"))</f>
        <v/>
      </c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>
        <f>IF(COUNT(F84:J84)&lt;5,"",ROUND(F84*0.30+G84*0.25+H84*0.25+I84*0.10+J84*0.10,1))</f>
        <v/>
      </c>
      <c r="L84" s="9">
        <f>IF(K84="","",IF(K84&gt;=95,"Excellent",IF(K84&gt;=90,"Meets Expectations",IF(K84&gt;=80,"Needs Improvement","Corrective Education Required"))))</f>
        <v/>
      </c>
      <c r="M84" s="8" t="n"/>
      <c r="N84" s="9">
        <f>IF(K84="","",IF(K84&lt;80,"Yes","No"))</f>
        <v/>
      </c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>
        <f>IF(COUNT(F85:J85)&lt;5,"",ROUND(F85*0.30+G85*0.25+H85*0.25+I85*0.10+J85*0.10,1))</f>
        <v/>
      </c>
      <c r="L85" s="9">
        <f>IF(K85="","",IF(K85&gt;=95,"Excellent",IF(K85&gt;=90,"Meets Expectations",IF(K85&gt;=80,"Needs Improvement","Corrective Education Required"))))</f>
        <v/>
      </c>
      <c r="M85" s="8" t="n"/>
      <c r="N85" s="9">
        <f>IF(K85="","",IF(K85&lt;80,"Yes","No"))</f>
        <v/>
      </c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>
        <f>IF(COUNT(F86:J86)&lt;5,"",ROUND(F86*0.30+G86*0.25+H86*0.25+I86*0.10+J86*0.10,1))</f>
        <v/>
      </c>
      <c r="L86" s="9">
        <f>IF(K86="","",IF(K86&gt;=95,"Excellent",IF(K86&gt;=90,"Meets Expectations",IF(K86&gt;=80,"Needs Improvement","Corrective Education Required"))))</f>
        <v/>
      </c>
      <c r="M86" s="8" t="n"/>
      <c r="N86" s="9">
        <f>IF(K86="","",IF(K86&lt;80,"Yes","No"))</f>
        <v/>
      </c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>
        <f>IF(COUNT(F87:J87)&lt;5,"",ROUND(F87*0.30+G87*0.25+H87*0.25+I87*0.10+J87*0.10,1))</f>
        <v/>
      </c>
      <c r="L87" s="9">
        <f>IF(K87="","",IF(K87&gt;=95,"Excellent",IF(K87&gt;=90,"Meets Expectations",IF(K87&gt;=80,"Needs Improvement","Corrective Education Required"))))</f>
        <v/>
      </c>
      <c r="M87" s="8" t="n"/>
      <c r="N87" s="9">
        <f>IF(K87="","",IF(K87&lt;80,"Yes","No"))</f>
        <v/>
      </c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>
        <f>IF(COUNT(F88:J88)&lt;5,"",ROUND(F88*0.30+G88*0.25+H88*0.25+I88*0.10+J88*0.10,1))</f>
        <v/>
      </c>
      <c r="L88" s="9">
        <f>IF(K88="","",IF(K88&gt;=95,"Excellent",IF(K88&gt;=90,"Meets Expectations",IF(K88&gt;=80,"Needs Improvement","Corrective Education Required"))))</f>
        <v/>
      </c>
      <c r="M88" s="8" t="n"/>
      <c r="N88" s="9">
        <f>IF(K88="","",IF(K88&lt;80,"Yes","No"))</f>
        <v/>
      </c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>
        <f>IF(COUNT(F89:J89)&lt;5,"",ROUND(F89*0.30+G89*0.25+H89*0.25+I89*0.10+J89*0.10,1))</f>
        <v/>
      </c>
      <c r="L89" s="9">
        <f>IF(K89="","",IF(K89&gt;=95,"Excellent",IF(K89&gt;=90,"Meets Expectations",IF(K89&gt;=80,"Needs Improvement","Corrective Education Required"))))</f>
        <v/>
      </c>
      <c r="M89" s="8" t="n"/>
      <c r="N89" s="9">
        <f>IF(K89="","",IF(K89&lt;80,"Yes","No"))</f>
        <v/>
      </c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>
        <f>IF(COUNT(F90:J90)&lt;5,"",ROUND(F90*0.30+G90*0.25+H90*0.25+I90*0.10+J90*0.10,1))</f>
        <v/>
      </c>
      <c r="L90" s="9">
        <f>IF(K90="","",IF(K90&gt;=95,"Excellent",IF(K90&gt;=90,"Meets Expectations",IF(K90&gt;=80,"Needs Improvement","Corrective Education Required"))))</f>
        <v/>
      </c>
      <c r="M90" s="8" t="n"/>
      <c r="N90" s="9">
        <f>IF(K90="","",IF(K90&lt;80,"Yes","No"))</f>
        <v/>
      </c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>
        <f>IF(COUNT(F91:J91)&lt;5,"",ROUND(F91*0.30+G91*0.25+H91*0.25+I91*0.10+J91*0.10,1))</f>
        <v/>
      </c>
      <c r="L91" s="9">
        <f>IF(K91="","",IF(K91&gt;=95,"Excellent",IF(K91&gt;=90,"Meets Expectations",IF(K91&gt;=80,"Needs Improvement","Corrective Education Required"))))</f>
        <v/>
      </c>
      <c r="M91" s="8" t="n"/>
      <c r="N91" s="9">
        <f>IF(K91="","",IF(K91&lt;80,"Yes","No"))</f>
        <v/>
      </c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>
        <f>IF(COUNT(F92:J92)&lt;5,"",ROUND(F92*0.30+G92*0.25+H92*0.25+I92*0.10+J92*0.10,1))</f>
        <v/>
      </c>
      <c r="L92" s="9">
        <f>IF(K92="","",IF(K92&gt;=95,"Excellent",IF(K92&gt;=90,"Meets Expectations",IF(K92&gt;=80,"Needs Improvement","Corrective Education Required"))))</f>
        <v/>
      </c>
      <c r="M92" s="8" t="n"/>
      <c r="N92" s="9">
        <f>IF(K92="","",IF(K92&lt;80,"Yes","No"))</f>
        <v/>
      </c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>
        <f>IF(COUNT(F93:J93)&lt;5,"",ROUND(F93*0.30+G93*0.25+H93*0.25+I93*0.10+J93*0.10,1))</f>
        <v/>
      </c>
      <c r="L93" s="9">
        <f>IF(K93="","",IF(K93&gt;=95,"Excellent",IF(K93&gt;=90,"Meets Expectations",IF(K93&gt;=80,"Needs Improvement","Corrective Education Required"))))</f>
        <v/>
      </c>
      <c r="M93" s="8" t="n"/>
      <c r="N93" s="9">
        <f>IF(K93="","",IF(K93&lt;80,"Yes","No"))</f>
        <v/>
      </c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>
        <f>IF(COUNT(F94:J94)&lt;5,"",ROUND(F94*0.30+G94*0.25+H94*0.25+I94*0.10+J94*0.10,1))</f>
        <v/>
      </c>
      <c r="L94" s="9">
        <f>IF(K94="","",IF(K94&gt;=95,"Excellent",IF(K94&gt;=90,"Meets Expectations",IF(K94&gt;=80,"Needs Improvement","Corrective Education Required"))))</f>
        <v/>
      </c>
      <c r="M94" s="8" t="n"/>
      <c r="N94" s="9">
        <f>IF(K94="","",IF(K94&lt;80,"Yes","No"))</f>
        <v/>
      </c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>
        <f>IF(COUNT(F95:J95)&lt;5,"",ROUND(F95*0.30+G95*0.25+H95*0.25+I95*0.10+J95*0.10,1))</f>
        <v/>
      </c>
      <c r="L95" s="9">
        <f>IF(K95="","",IF(K95&gt;=95,"Excellent",IF(K95&gt;=90,"Meets Expectations",IF(K95&gt;=80,"Needs Improvement","Corrective Education Required"))))</f>
        <v/>
      </c>
      <c r="M95" s="8" t="n"/>
      <c r="N95" s="9">
        <f>IF(K95="","",IF(K95&lt;80,"Yes","No"))</f>
        <v/>
      </c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>
        <f>IF(COUNT(F96:J96)&lt;5,"",ROUND(F96*0.30+G96*0.25+H96*0.25+I96*0.10+J96*0.10,1))</f>
        <v/>
      </c>
      <c r="L96" s="9">
        <f>IF(K96="","",IF(K96&gt;=95,"Excellent",IF(K96&gt;=90,"Meets Expectations",IF(K96&gt;=80,"Needs Improvement","Corrective Education Required"))))</f>
        <v/>
      </c>
      <c r="M96" s="8" t="n"/>
      <c r="N96" s="9">
        <f>IF(K96="","",IF(K96&lt;80,"Yes","No"))</f>
        <v/>
      </c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>
        <f>IF(COUNT(F97:J97)&lt;5,"",ROUND(F97*0.30+G97*0.25+H97*0.25+I97*0.10+J97*0.10,1))</f>
        <v/>
      </c>
      <c r="L97" s="9">
        <f>IF(K97="","",IF(K97&gt;=95,"Excellent",IF(K97&gt;=90,"Meets Expectations",IF(K97&gt;=80,"Needs Improvement","Corrective Education Required"))))</f>
        <v/>
      </c>
      <c r="M97" s="8" t="n"/>
      <c r="N97" s="9">
        <f>IF(K97="","",IF(K97&lt;80,"Yes","No"))</f>
        <v/>
      </c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>
        <f>IF(COUNT(F98:J98)&lt;5,"",ROUND(F98*0.30+G98*0.25+H98*0.25+I98*0.10+J98*0.10,1))</f>
        <v/>
      </c>
      <c r="L98" s="9">
        <f>IF(K98="","",IF(K98&gt;=95,"Excellent",IF(K98&gt;=90,"Meets Expectations",IF(K98&gt;=80,"Needs Improvement","Corrective Education Required"))))</f>
        <v/>
      </c>
      <c r="M98" s="8" t="n"/>
      <c r="N98" s="9">
        <f>IF(K98="","",IF(K98&lt;80,"Yes","No"))</f>
        <v/>
      </c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>
        <f>IF(COUNT(F99:J99)&lt;5,"",ROUND(F99*0.30+G99*0.25+H99*0.25+I99*0.10+J99*0.10,1))</f>
        <v/>
      </c>
      <c r="L99" s="9">
        <f>IF(K99="","",IF(K99&gt;=95,"Excellent",IF(K99&gt;=90,"Meets Expectations",IF(K99&gt;=80,"Needs Improvement","Corrective Education Required"))))</f>
        <v/>
      </c>
      <c r="M99" s="8" t="n"/>
      <c r="N99" s="9">
        <f>IF(K99="","",IF(K99&lt;80,"Yes","No"))</f>
        <v/>
      </c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>
        <f>IF(COUNT(F100:J100)&lt;5,"",ROUND(F100*0.30+G100*0.25+H100*0.25+I100*0.10+J100*0.10,1))</f>
        <v/>
      </c>
      <c r="L100" s="9">
        <f>IF(K100="","",IF(K100&gt;=95,"Excellent",IF(K100&gt;=90,"Meets Expectations",IF(K100&gt;=80,"Needs Improvement","Corrective Education Required"))))</f>
        <v/>
      </c>
      <c r="M100" s="8" t="n"/>
      <c r="N100" s="9">
        <f>IF(K100="","",IF(K100&lt;80,"Yes","No"))</f>
        <v/>
      </c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>
        <f>IF(COUNT(F101:J101)&lt;5,"",ROUND(F101*0.30+G101*0.25+H101*0.25+I101*0.10+J101*0.10,1))</f>
        <v/>
      </c>
      <c r="L101" s="9">
        <f>IF(K101="","",IF(K101&gt;=95,"Excellent",IF(K101&gt;=90,"Meets Expectations",IF(K101&gt;=80,"Needs Improvement","Corrective Education Required"))))</f>
        <v/>
      </c>
      <c r="M101" s="8" t="n"/>
      <c r="N101" s="9">
        <f>IF(K101="","",IF(K101&lt;80,"Yes","No"))</f>
        <v/>
      </c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>
        <f>IF(COUNT(F102:J102)&lt;5,"",ROUND(F102*0.30+G102*0.25+H102*0.25+I102*0.10+J102*0.10,1))</f>
        <v/>
      </c>
      <c r="L102" s="9">
        <f>IF(K102="","",IF(K102&gt;=95,"Excellent",IF(K102&gt;=90,"Meets Expectations",IF(K102&gt;=80,"Needs Improvement","Corrective Education Required"))))</f>
        <v/>
      </c>
      <c r="M102" s="8" t="n"/>
      <c r="N102" s="9">
        <f>IF(K102="","",IF(K102&lt;80,"Yes","No"))</f>
        <v/>
      </c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>
        <f>IF(COUNT(F103:J103)&lt;5,"",ROUND(F103*0.30+G103*0.25+H103*0.25+I103*0.10+J103*0.10,1))</f>
        <v/>
      </c>
      <c r="L103" s="9">
        <f>IF(K103="","",IF(K103&gt;=95,"Excellent",IF(K103&gt;=90,"Meets Expectations",IF(K103&gt;=80,"Needs Improvement","Corrective Education Required"))))</f>
        <v/>
      </c>
      <c r="M103" s="8" t="n"/>
      <c r="N103" s="9">
        <f>IF(K103="","",IF(K103&lt;80,"Yes","No"))</f>
        <v/>
      </c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>
        <f>IF(COUNT(F104:J104)&lt;5,"",ROUND(F104*0.30+G104*0.25+H104*0.25+I104*0.10+J104*0.10,1))</f>
        <v/>
      </c>
      <c r="L104" s="9">
        <f>IF(K104="","",IF(K104&gt;=95,"Excellent",IF(K104&gt;=90,"Meets Expectations",IF(K104&gt;=80,"Needs Improvement","Corrective Education Required"))))</f>
        <v/>
      </c>
      <c r="M104" s="8" t="n"/>
      <c r="N104" s="9">
        <f>IF(K104="","",IF(K104&lt;80,"Yes","No"))</f>
        <v/>
      </c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>
        <f>IF(COUNT(F105:J105)&lt;5,"",ROUND(F105*0.30+G105*0.25+H105*0.25+I105*0.10+J105*0.10,1))</f>
        <v/>
      </c>
      <c r="L105" s="9">
        <f>IF(K105="","",IF(K105&gt;=95,"Excellent",IF(K105&gt;=90,"Meets Expectations",IF(K105&gt;=80,"Needs Improvement","Corrective Education Required"))))</f>
        <v/>
      </c>
      <c r="M105" s="8" t="n"/>
      <c r="N105" s="9">
        <f>IF(K105="","",IF(K105&lt;80,"Yes","No"))</f>
        <v/>
      </c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>
        <f>IF(COUNT(F106:J106)&lt;5,"",ROUND(F106*0.30+G106*0.25+H106*0.25+I106*0.10+J106*0.10,1))</f>
        <v/>
      </c>
      <c r="L106" s="9">
        <f>IF(K106="","",IF(K106&gt;=95,"Excellent",IF(K106&gt;=90,"Meets Expectations",IF(K106&gt;=80,"Needs Improvement","Corrective Education Required"))))</f>
        <v/>
      </c>
      <c r="M106" s="8" t="n"/>
      <c r="N106" s="9">
        <f>IF(K106="","",IF(K106&lt;80,"Yes","No"))</f>
        <v/>
      </c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>
        <f>IF(COUNT(F107:J107)&lt;5,"",ROUND(F107*0.30+G107*0.25+H107*0.25+I107*0.10+J107*0.10,1))</f>
        <v/>
      </c>
      <c r="L107" s="9">
        <f>IF(K107="","",IF(K107&gt;=95,"Excellent",IF(K107&gt;=90,"Meets Expectations",IF(K107&gt;=80,"Needs Improvement","Corrective Education Required"))))</f>
        <v/>
      </c>
      <c r="M107" s="8" t="n"/>
      <c r="N107" s="9">
        <f>IF(K107="","",IF(K107&lt;80,"Yes","No"))</f>
        <v/>
      </c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>
        <f>IF(COUNT(F108:J108)&lt;5,"",ROUND(F108*0.30+G108*0.25+H108*0.25+I108*0.10+J108*0.10,1))</f>
        <v/>
      </c>
      <c r="L108" s="9">
        <f>IF(K108="","",IF(K108&gt;=95,"Excellent",IF(K108&gt;=90,"Meets Expectations",IF(K108&gt;=80,"Needs Improvement","Corrective Education Required"))))</f>
        <v/>
      </c>
      <c r="M108" s="8" t="n"/>
      <c r="N108" s="9">
        <f>IF(K108="","",IF(K108&lt;80,"Yes","No"))</f>
        <v/>
      </c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>
        <f>IF(COUNT(F109:J109)&lt;5,"",ROUND(F109*0.30+G109*0.25+H109*0.25+I109*0.10+J109*0.10,1))</f>
        <v/>
      </c>
      <c r="L109" s="9">
        <f>IF(K109="","",IF(K109&gt;=95,"Excellent",IF(K109&gt;=90,"Meets Expectations",IF(K109&gt;=80,"Needs Improvement","Corrective Education Required"))))</f>
        <v/>
      </c>
      <c r="M109" s="8" t="n"/>
      <c r="N109" s="9">
        <f>IF(K109="","",IF(K109&lt;80,"Yes","No"))</f>
        <v/>
      </c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>
        <f>IF(COUNT(F110:J110)&lt;5,"",ROUND(F110*0.30+G110*0.25+H110*0.25+I110*0.10+J110*0.10,1))</f>
        <v/>
      </c>
      <c r="L110" s="9">
        <f>IF(K110="","",IF(K110&gt;=95,"Excellent",IF(K110&gt;=90,"Meets Expectations",IF(K110&gt;=80,"Needs Improvement","Corrective Education Required"))))</f>
        <v/>
      </c>
      <c r="M110" s="8" t="n"/>
      <c r="N110" s="9">
        <f>IF(K110="","",IF(K110&lt;80,"Yes","No"))</f>
        <v/>
      </c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>
        <f>IF(COUNT(F111:J111)&lt;5,"",ROUND(F111*0.30+G111*0.25+H111*0.25+I111*0.10+J111*0.10,1))</f>
        <v/>
      </c>
      <c r="L111" s="9">
        <f>IF(K111="","",IF(K111&gt;=95,"Excellent",IF(K111&gt;=90,"Meets Expectations",IF(K111&gt;=80,"Needs Improvement","Corrective Education Required"))))</f>
        <v/>
      </c>
      <c r="M111" s="8" t="n"/>
      <c r="N111" s="9">
        <f>IF(K111="","",IF(K111&lt;80,"Yes","No"))</f>
        <v/>
      </c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>
        <f>IF(COUNT(F112:J112)&lt;5,"",ROUND(F112*0.30+G112*0.25+H112*0.25+I112*0.10+J112*0.10,1))</f>
        <v/>
      </c>
      <c r="L112" s="9">
        <f>IF(K112="","",IF(K112&gt;=95,"Excellent",IF(K112&gt;=90,"Meets Expectations",IF(K112&gt;=80,"Needs Improvement","Corrective Education Required"))))</f>
        <v/>
      </c>
      <c r="M112" s="8" t="n"/>
      <c r="N112" s="9">
        <f>IF(K112="","",IF(K112&lt;80,"Yes","No"))</f>
        <v/>
      </c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>
        <f>IF(COUNT(F113:J113)&lt;5,"",ROUND(F113*0.30+G113*0.25+H113*0.25+I113*0.10+J113*0.10,1))</f>
        <v/>
      </c>
      <c r="L113" s="9">
        <f>IF(K113="","",IF(K113&gt;=95,"Excellent",IF(K113&gt;=90,"Meets Expectations",IF(K113&gt;=80,"Needs Improvement","Corrective Education Required"))))</f>
        <v/>
      </c>
      <c r="M113" s="8" t="n"/>
      <c r="N113" s="9">
        <f>IF(K113="","",IF(K113&lt;80,"Yes","No"))</f>
        <v/>
      </c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>
        <f>IF(COUNT(F114:J114)&lt;5,"",ROUND(F114*0.30+G114*0.25+H114*0.25+I114*0.10+J114*0.10,1))</f>
        <v/>
      </c>
      <c r="L114" s="9">
        <f>IF(K114="","",IF(K114&gt;=95,"Excellent",IF(K114&gt;=90,"Meets Expectations",IF(K114&gt;=80,"Needs Improvement","Corrective Education Required"))))</f>
        <v/>
      </c>
      <c r="M114" s="8" t="n"/>
      <c r="N114" s="9">
        <f>IF(K114="","",IF(K114&lt;80,"Yes","No"))</f>
        <v/>
      </c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>
        <f>IF(COUNT(F115:J115)&lt;5,"",ROUND(F115*0.30+G115*0.25+H115*0.25+I115*0.10+J115*0.10,1))</f>
        <v/>
      </c>
      <c r="L115" s="9">
        <f>IF(K115="","",IF(K115&gt;=95,"Excellent",IF(K115&gt;=90,"Meets Expectations",IF(K115&gt;=80,"Needs Improvement","Corrective Education Required"))))</f>
        <v/>
      </c>
      <c r="M115" s="8" t="n"/>
      <c r="N115" s="9">
        <f>IF(K115="","",IF(K115&lt;80,"Yes","No"))</f>
        <v/>
      </c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>
        <f>IF(COUNT(F116:J116)&lt;5,"",ROUND(F116*0.30+G116*0.25+H116*0.25+I116*0.10+J116*0.10,1))</f>
        <v/>
      </c>
      <c r="L116" s="9">
        <f>IF(K116="","",IF(K116&gt;=95,"Excellent",IF(K116&gt;=90,"Meets Expectations",IF(K116&gt;=80,"Needs Improvement","Corrective Education Required"))))</f>
        <v/>
      </c>
      <c r="M116" s="8" t="n"/>
      <c r="N116" s="9">
        <f>IF(K116="","",IF(K116&lt;80,"Yes","No"))</f>
        <v/>
      </c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>
        <f>IF(COUNT(F117:J117)&lt;5,"",ROUND(F117*0.30+G117*0.25+H117*0.25+I117*0.10+J117*0.10,1))</f>
        <v/>
      </c>
      <c r="L117" s="9">
        <f>IF(K117="","",IF(K117&gt;=95,"Excellent",IF(K117&gt;=90,"Meets Expectations",IF(K117&gt;=80,"Needs Improvement","Corrective Education Required"))))</f>
        <v/>
      </c>
      <c r="M117" s="8" t="n"/>
      <c r="N117" s="9">
        <f>IF(K117="","",IF(K117&lt;80,"Yes","No"))</f>
        <v/>
      </c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>
        <f>IF(COUNT(F118:J118)&lt;5,"",ROUND(F118*0.30+G118*0.25+H118*0.25+I118*0.10+J118*0.10,1))</f>
        <v/>
      </c>
      <c r="L118" s="9">
        <f>IF(K118="","",IF(K118&gt;=95,"Excellent",IF(K118&gt;=90,"Meets Expectations",IF(K118&gt;=80,"Needs Improvement","Corrective Education Required"))))</f>
        <v/>
      </c>
      <c r="M118" s="8" t="n"/>
      <c r="N118" s="9">
        <f>IF(K118="","",IF(K118&lt;80,"Yes","No"))</f>
        <v/>
      </c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>
        <f>IF(COUNT(F119:J119)&lt;5,"",ROUND(F119*0.30+G119*0.25+H119*0.25+I119*0.10+J119*0.10,1))</f>
        <v/>
      </c>
      <c r="L119" s="9">
        <f>IF(K119="","",IF(K119&gt;=95,"Excellent",IF(K119&gt;=90,"Meets Expectations",IF(K119&gt;=80,"Needs Improvement","Corrective Education Required"))))</f>
        <v/>
      </c>
      <c r="M119" s="8" t="n"/>
      <c r="N119" s="9">
        <f>IF(K119="","",IF(K119&lt;80,"Yes","No"))</f>
        <v/>
      </c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>
        <f>IF(COUNT(F120:J120)&lt;5,"",ROUND(F120*0.30+G120*0.25+H120*0.25+I120*0.10+J120*0.10,1))</f>
        <v/>
      </c>
      <c r="L120" s="9">
        <f>IF(K120="","",IF(K120&gt;=95,"Excellent",IF(K120&gt;=90,"Meets Expectations",IF(K120&gt;=80,"Needs Improvement","Corrective Education Required"))))</f>
        <v/>
      </c>
      <c r="M120" s="8" t="n"/>
      <c r="N120" s="9">
        <f>IF(K120="","",IF(K120&lt;80,"Yes","No"))</f>
        <v/>
      </c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>
        <f>IF(COUNT(F121:J121)&lt;5,"",ROUND(F121*0.30+G121*0.25+H121*0.25+I121*0.10+J121*0.10,1))</f>
        <v/>
      </c>
      <c r="L121" s="9">
        <f>IF(K121="","",IF(K121&gt;=95,"Excellent",IF(K121&gt;=90,"Meets Expectations",IF(K121&gt;=80,"Needs Improvement","Corrective Education Required"))))</f>
        <v/>
      </c>
      <c r="M121" s="8" t="n"/>
      <c r="N121" s="9">
        <f>IF(K121="","",IF(K121&lt;80,"Yes","No"))</f>
        <v/>
      </c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>
        <f>IF(COUNT(F122:J122)&lt;5,"",ROUND(F122*0.30+G122*0.25+H122*0.25+I122*0.10+J122*0.10,1))</f>
        <v/>
      </c>
      <c r="L122" s="9">
        <f>IF(K122="","",IF(K122&gt;=95,"Excellent",IF(K122&gt;=90,"Meets Expectations",IF(K122&gt;=80,"Needs Improvement","Corrective Education Required"))))</f>
        <v/>
      </c>
      <c r="M122" s="8" t="n"/>
      <c r="N122" s="9">
        <f>IF(K122="","",IF(K122&lt;80,"Yes","No"))</f>
        <v/>
      </c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>
        <f>IF(COUNT(F123:J123)&lt;5,"",ROUND(F123*0.30+G123*0.25+H123*0.25+I123*0.10+J123*0.10,1))</f>
        <v/>
      </c>
      <c r="L123" s="9">
        <f>IF(K123="","",IF(K123&gt;=95,"Excellent",IF(K123&gt;=90,"Meets Expectations",IF(K123&gt;=80,"Needs Improvement","Corrective Education Required"))))</f>
        <v/>
      </c>
      <c r="M123" s="8" t="n"/>
      <c r="N123" s="9">
        <f>IF(K123="","",IF(K123&lt;80,"Yes","No"))</f>
        <v/>
      </c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>
        <f>IF(COUNT(F124:J124)&lt;5,"",ROUND(F124*0.30+G124*0.25+H124*0.25+I124*0.10+J124*0.10,1))</f>
        <v/>
      </c>
      <c r="L124" s="9">
        <f>IF(K124="","",IF(K124&gt;=95,"Excellent",IF(K124&gt;=90,"Meets Expectations",IF(K124&gt;=80,"Needs Improvement","Corrective Education Required"))))</f>
        <v/>
      </c>
      <c r="M124" s="8" t="n"/>
      <c r="N124" s="9">
        <f>IF(K124="","",IF(K124&lt;80,"Yes","No"))</f>
        <v/>
      </c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>
        <f>IF(COUNT(F125:J125)&lt;5,"",ROUND(F125*0.30+G125*0.25+H125*0.25+I125*0.10+J125*0.10,1))</f>
        <v/>
      </c>
      <c r="L125" s="9">
        <f>IF(K125="","",IF(K125&gt;=95,"Excellent",IF(K125&gt;=90,"Meets Expectations",IF(K125&gt;=80,"Needs Improvement","Corrective Education Required"))))</f>
        <v/>
      </c>
      <c r="M125" s="8" t="n"/>
      <c r="N125" s="9">
        <f>IF(K125="","",IF(K125&lt;80,"Yes","No"))</f>
        <v/>
      </c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>
        <f>IF(COUNT(F126:J126)&lt;5,"",ROUND(F126*0.30+G126*0.25+H126*0.25+I126*0.10+J126*0.10,1))</f>
        <v/>
      </c>
      <c r="L126" s="9">
        <f>IF(K126="","",IF(K126&gt;=95,"Excellent",IF(K126&gt;=90,"Meets Expectations",IF(K126&gt;=80,"Needs Improvement","Corrective Education Required"))))</f>
        <v/>
      </c>
      <c r="M126" s="8" t="n"/>
      <c r="N126" s="9">
        <f>IF(K126="","",IF(K126&lt;80,"Yes","No"))</f>
        <v/>
      </c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>
        <f>IF(COUNT(F127:J127)&lt;5,"",ROUND(F127*0.30+G127*0.25+H127*0.25+I127*0.10+J127*0.10,1))</f>
        <v/>
      </c>
      <c r="L127" s="9">
        <f>IF(K127="","",IF(K127&gt;=95,"Excellent",IF(K127&gt;=90,"Meets Expectations",IF(K127&gt;=80,"Needs Improvement","Corrective Education Required"))))</f>
        <v/>
      </c>
      <c r="M127" s="8" t="n"/>
      <c r="N127" s="9">
        <f>IF(K127="","",IF(K127&lt;80,"Yes","No"))</f>
        <v/>
      </c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>
        <f>IF(COUNT(F128:J128)&lt;5,"",ROUND(F128*0.30+G128*0.25+H128*0.25+I128*0.10+J128*0.10,1))</f>
        <v/>
      </c>
      <c r="L128" s="9">
        <f>IF(K128="","",IF(K128&gt;=95,"Excellent",IF(K128&gt;=90,"Meets Expectations",IF(K128&gt;=80,"Needs Improvement","Corrective Education Required"))))</f>
        <v/>
      </c>
      <c r="M128" s="8" t="n"/>
      <c r="N128" s="9">
        <f>IF(K128="","",IF(K128&lt;80,"Yes","No"))</f>
        <v/>
      </c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>
        <f>IF(COUNT(F129:J129)&lt;5,"",ROUND(F129*0.30+G129*0.25+H129*0.25+I129*0.10+J129*0.10,1))</f>
        <v/>
      </c>
      <c r="L129" s="9">
        <f>IF(K129="","",IF(K129&gt;=95,"Excellent",IF(K129&gt;=90,"Meets Expectations",IF(K129&gt;=80,"Needs Improvement","Corrective Education Required"))))</f>
        <v/>
      </c>
      <c r="M129" s="8" t="n"/>
      <c r="N129" s="9">
        <f>IF(K129="","",IF(K129&lt;80,"Yes","No"))</f>
        <v/>
      </c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>
        <f>IF(COUNT(F130:J130)&lt;5,"",ROUND(F130*0.30+G130*0.25+H130*0.25+I130*0.10+J130*0.10,1))</f>
        <v/>
      </c>
      <c r="L130" s="9">
        <f>IF(K130="","",IF(K130&gt;=95,"Excellent",IF(K130&gt;=90,"Meets Expectations",IF(K130&gt;=80,"Needs Improvement","Corrective Education Required"))))</f>
        <v/>
      </c>
      <c r="M130" s="8" t="n"/>
      <c r="N130" s="9">
        <f>IF(K130="","",IF(K130&lt;80,"Yes","No"))</f>
        <v/>
      </c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>
        <f>IF(COUNT(F131:J131)&lt;5,"",ROUND(F131*0.30+G131*0.25+H131*0.25+I131*0.10+J131*0.10,1))</f>
        <v/>
      </c>
      <c r="L131" s="9">
        <f>IF(K131="","",IF(K131&gt;=95,"Excellent",IF(K131&gt;=90,"Meets Expectations",IF(K131&gt;=80,"Needs Improvement","Corrective Education Required"))))</f>
        <v/>
      </c>
      <c r="M131" s="8" t="n"/>
      <c r="N131" s="9">
        <f>IF(K131="","",IF(K131&lt;80,"Yes","No"))</f>
        <v/>
      </c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>
        <f>IF(COUNT(F132:J132)&lt;5,"",ROUND(F132*0.30+G132*0.25+H132*0.25+I132*0.10+J132*0.10,1))</f>
        <v/>
      </c>
      <c r="L132" s="9">
        <f>IF(K132="","",IF(K132&gt;=95,"Excellent",IF(K132&gt;=90,"Meets Expectations",IF(K132&gt;=80,"Needs Improvement","Corrective Education Required"))))</f>
        <v/>
      </c>
      <c r="M132" s="8" t="n"/>
      <c r="N132" s="9">
        <f>IF(K132="","",IF(K132&lt;80,"Yes","No"))</f>
        <v/>
      </c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>
        <f>IF(COUNT(F133:J133)&lt;5,"",ROUND(F133*0.30+G133*0.25+H133*0.25+I133*0.10+J133*0.10,1))</f>
        <v/>
      </c>
      <c r="L133" s="9">
        <f>IF(K133="","",IF(K133&gt;=95,"Excellent",IF(K133&gt;=90,"Meets Expectations",IF(K133&gt;=80,"Needs Improvement","Corrective Education Required"))))</f>
        <v/>
      </c>
      <c r="M133" s="8" t="n"/>
      <c r="N133" s="9">
        <f>IF(K133="","",IF(K133&lt;80,"Yes","No"))</f>
        <v/>
      </c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>
        <f>IF(COUNT(F134:J134)&lt;5,"",ROUND(F134*0.30+G134*0.25+H134*0.25+I134*0.10+J134*0.10,1))</f>
        <v/>
      </c>
      <c r="L134" s="9">
        <f>IF(K134="","",IF(K134&gt;=95,"Excellent",IF(K134&gt;=90,"Meets Expectations",IF(K134&gt;=80,"Needs Improvement","Corrective Education Required"))))</f>
        <v/>
      </c>
      <c r="M134" s="8" t="n"/>
      <c r="N134" s="9">
        <f>IF(K134="","",IF(K134&lt;80,"Yes","No"))</f>
        <v/>
      </c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>
        <f>IF(COUNT(F135:J135)&lt;5,"",ROUND(F135*0.30+G135*0.25+H135*0.25+I135*0.10+J135*0.10,1))</f>
        <v/>
      </c>
      <c r="L135" s="9">
        <f>IF(K135="","",IF(K135&gt;=95,"Excellent",IF(K135&gt;=90,"Meets Expectations",IF(K135&gt;=80,"Needs Improvement","Corrective Education Required"))))</f>
        <v/>
      </c>
      <c r="M135" s="8" t="n"/>
      <c r="N135" s="9">
        <f>IF(K135="","",IF(K135&lt;80,"Yes","No"))</f>
        <v/>
      </c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>
        <f>IF(COUNT(F136:J136)&lt;5,"",ROUND(F136*0.30+G136*0.25+H136*0.25+I136*0.10+J136*0.10,1))</f>
        <v/>
      </c>
      <c r="L136" s="9">
        <f>IF(K136="","",IF(K136&gt;=95,"Excellent",IF(K136&gt;=90,"Meets Expectations",IF(K136&gt;=80,"Needs Improvement","Corrective Education Required"))))</f>
        <v/>
      </c>
      <c r="M136" s="8" t="n"/>
      <c r="N136" s="9">
        <f>IF(K136="","",IF(K136&lt;80,"Yes","No"))</f>
        <v/>
      </c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>
        <f>IF(COUNT(F137:J137)&lt;5,"",ROUND(F137*0.30+G137*0.25+H137*0.25+I137*0.10+J137*0.10,1))</f>
        <v/>
      </c>
      <c r="L137" s="9">
        <f>IF(K137="","",IF(K137&gt;=95,"Excellent",IF(K137&gt;=90,"Meets Expectations",IF(K137&gt;=80,"Needs Improvement","Corrective Education Required"))))</f>
        <v/>
      </c>
      <c r="M137" s="8" t="n"/>
      <c r="N137" s="9">
        <f>IF(K137="","",IF(K137&lt;80,"Yes","No"))</f>
        <v/>
      </c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>
        <f>IF(COUNT(F138:J138)&lt;5,"",ROUND(F138*0.30+G138*0.25+H138*0.25+I138*0.10+J138*0.10,1))</f>
        <v/>
      </c>
      <c r="L138" s="9">
        <f>IF(K138="","",IF(K138&gt;=95,"Excellent",IF(K138&gt;=90,"Meets Expectations",IF(K138&gt;=80,"Needs Improvement","Corrective Education Required"))))</f>
        <v/>
      </c>
      <c r="M138" s="8" t="n"/>
      <c r="N138" s="9">
        <f>IF(K138="","",IF(K138&lt;80,"Yes","No"))</f>
        <v/>
      </c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>
        <f>IF(COUNT(F139:J139)&lt;5,"",ROUND(F139*0.30+G139*0.25+H139*0.25+I139*0.10+J139*0.10,1))</f>
        <v/>
      </c>
      <c r="L139" s="9">
        <f>IF(K139="","",IF(K139&gt;=95,"Excellent",IF(K139&gt;=90,"Meets Expectations",IF(K139&gt;=80,"Needs Improvement","Corrective Education Required"))))</f>
        <v/>
      </c>
      <c r="M139" s="8" t="n"/>
      <c r="N139" s="9">
        <f>IF(K139="","",IF(K139&lt;80,"Yes","No"))</f>
        <v/>
      </c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>
        <f>IF(COUNT(F140:J140)&lt;5,"",ROUND(F140*0.30+G140*0.25+H140*0.25+I140*0.10+J140*0.10,1))</f>
        <v/>
      </c>
      <c r="L140" s="9">
        <f>IF(K140="","",IF(K140&gt;=95,"Excellent",IF(K140&gt;=90,"Meets Expectations",IF(K140&gt;=80,"Needs Improvement","Corrective Education Required"))))</f>
        <v/>
      </c>
      <c r="M140" s="8" t="n"/>
      <c r="N140" s="9">
        <f>IF(K140="","",IF(K140&lt;80,"Yes","No"))</f>
        <v/>
      </c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>
        <f>IF(COUNT(F141:J141)&lt;5,"",ROUND(F141*0.30+G141*0.25+H141*0.25+I141*0.10+J141*0.10,1))</f>
        <v/>
      </c>
      <c r="L141" s="9">
        <f>IF(K141="","",IF(K141&gt;=95,"Excellent",IF(K141&gt;=90,"Meets Expectations",IF(K141&gt;=80,"Needs Improvement","Corrective Education Required"))))</f>
        <v/>
      </c>
      <c r="M141" s="8" t="n"/>
      <c r="N141" s="9">
        <f>IF(K141="","",IF(K141&lt;80,"Yes","No"))</f>
        <v/>
      </c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>
        <f>IF(COUNT(F142:J142)&lt;5,"",ROUND(F142*0.30+G142*0.25+H142*0.25+I142*0.10+J142*0.10,1))</f>
        <v/>
      </c>
      <c r="L142" s="9">
        <f>IF(K142="","",IF(K142&gt;=95,"Excellent",IF(K142&gt;=90,"Meets Expectations",IF(K142&gt;=80,"Needs Improvement","Corrective Education Required"))))</f>
        <v/>
      </c>
      <c r="M142" s="8" t="n"/>
      <c r="N142" s="9">
        <f>IF(K142="","",IF(K142&lt;80,"Yes","No"))</f>
        <v/>
      </c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>
        <f>IF(COUNT(F143:J143)&lt;5,"",ROUND(F143*0.30+G143*0.25+H143*0.25+I143*0.10+J143*0.10,1))</f>
        <v/>
      </c>
      <c r="L143" s="9">
        <f>IF(K143="","",IF(K143&gt;=95,"Excellent",IF(K143&gt;=90,"Meets Expectations",IF(K143&gt;=80,"Needs Improvement","Corrective Education Required"))))</f>
        <v/>
      </c>
      <c r="M143" s="8" t="n"/>
      <c r="N143" s="9">
        <f>IF(K143="","",IF(K143&lt;80,"Yes","No"))</f>
        <v/>
      </c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>
        <f>IF(COUNT(F144:J144)&lt;5,"",ROUND(F144*0.30+G144*0.25+H144*0.25+I144*0.10+J144*0.10,1))</f>
        <v/>
      </c>
      <c r="L144" s="9">
        <f>IF(K144="","",IF(K144&gt;=95,"Excellent",IF(K144&gt;=90,"Meets Expectations",IF(K144&gt;=80,"Needs Improvement","Corrective Education Required"))))</f>
        <v/>
      </c>
      <c r="M144" s="8" t="n"/>
      <c r="N144" s="9">
        <f>IF(K144="","",IF(K144&lt;80,"Yes","No"))</f>
        <v/>
      </c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>
        <f>IF(COUNT(F145:J145)&lt;5,"",ROUND(F145*0.30+G145*0.25+H145*0.25+I145*0.10+J145*0.10,1))</f>
        <v/>
      </c>
      <c r="L145" s="9">
        <f>IF(K145="","",IF(K145&gt;=95,"Excellent",IF(K145&gt;=90,"Meets Expectations",IF(K145&gt;=80,"Needs Improvement","Corrective Education Required"))))</f>
        <v/>
      </c>
      <c r="M145" s="8" t="n"/>
      <c r="N145" s="9">
        <f>IF(K145="","",IF(K145&lt;80,"Yes","No"))</f>
        <v/>
      </c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>
        <f>IF(COUNT(F146:J146)&lt;5,"",ROUND(F146*0.30+G146*0.25+H146*0.25+I146*0.10+J146*0.10,1))</f>
        <v/>
      </c>
      <c r="L146" s="9">
        <f>IF(K146="","",IF(K146&gt;=95,"Excellent",IF(K146&gt;=90,"Meets Expectations",IF(K146&gt;=80,"Needs Improvement","Corrective Education Required"))))</f>
        <v/>
      </c>
      <c r="M146" s="8" t="n"/>
      <c r="N146" s="9">
        <f>IF(K146="","",IF(K146&lt;80,"Yes","No"))</f>
        <v/>
      </c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>
        <f>IF(COUNT(F147:J147)&lt;5,"",ROUND(F147*0.30+G147*0.25+H147*0.25+I147*0.10+J147*0.10,1))</f>
        <v/>
      </c>
      <c r="L147" s="9">
        <f>IF(K147="","",IF(K147&gt;=95,"Excellent",IF(K147&gt;=90,"Meets Expectations",IF(K147&gt;=80,"Needs Improvement","Corrective Education Required"))))</f>
        <v/>
      </c>
      <c r="M147" s="8" t="n"/>
      <c r="N147" s="9">
        <f>IF(K147="","",IF(K147&lt;80,"Yes","No"))</f>
        <v/>
      </c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>
        <f>IF(COUNT(F148:J148)&lt;5,"",ROUND(F148*0.30+G148*0.25+H148*0.25+I148*0.10+J148*0.10,1))</f>
        <v/>
      </c>
      <c r="L148" s="9">
        <f>IF(K148="","",IF(K148&gt;=95,"Excellent",IF(K148&gt;=90,"Meets Expectations",IF(K148&gt;=80,"Needs Improvement","Corrective Education Required"))))</f>
        <v/>
      </c>
      <c r="M148" s="8" t="n"/>
      <c r="N148" s="9">
        <f>IF(K148="","",IF(K148&lt;80,"Yes","No"))</f>
        <v/>
      </c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>
        <f>IF(COUNT(F149:J149)&lt;5,"",ROUND(F149*0.30+G149*0.25+H149*0.25+I149*0.10+J149*0.10,1))</f>
        <v/>
      </c>
      <c r="L149" s="9">
        <f>IF(K149="","",IF(K149&gt;=95,"Excellent",IF(K149&gt;=90,"Meets Expectations",IF(K149&gt;=80,"Needs Improvement","Corrective Education Required"))))</f>
        <v/>
      </c>
      <c r="M149" s="8" t="n"/>
      <c r="N149" s="9">
        <f>IF(K149="","",IF(K149&lt;80,"Yes","No"))</f>
        <v/>
      </c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>
        <f>IF(COUNT(F150:J150)&lt;5,"",ROUND(F150*0.30+G150*0.25+H150*0.25+I150*0.10+J150*0.10,1))</f>
        <v/>
      </c>
      <c r="L150" s="9">
        <f>IF(K150="","",IF(K150&gt;=95,"Excellent",IF(K150&gt;=90,"Meets Expectations",IF(K150&gt;=80,"Needs Improvement","Corrective Education Required"))))</f>
        <v/>
      </c>
      <c r="M150" s="8" t="n"/>
      <c r="N150" s="9">
        <f>IF(K150="","",IF(K150&lt;80,"Yes","No"))</f>
        <v/>
      </c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>
        <f>IF(COUNT(F151:J151)&lt;5,"",ROUND(F151*0.30+G151*0.25+H151*0.25+I151*0.10+J151*0.10,1))</f>
        <v/>
      </c>
      <c r="L151" s="9">
        <f>IF(K151="","",IF(K151&gt;=95,"Excellent",IF(K151&gt;=90,"Meets Expectations",IF(K151&gt;=80,"Needs Improvement","Corrective Education Required"))))</f>
        <v/>
      </c>
      <c r="M151" s="8" t="n"/>
      <c r="N151" s="9">
        <f>IF(K151="","",IF(K151&lt;80,"Yes","No"))</f>
        <v/>
      </c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>
        <f>IF(COUNT(F152:J152)&lt;5,"",ROUND(F152*0.30+G152*0.25+H152*0.25+I152*0.10+J152*0.10,1))</f>
        <v/>
      </c>
      <c r="L152" s="9">
        <f>IF(K152="","",IF(K152&gt;=95,"Excellent",IF(K152&gt;=90,"Meets Expectations",IF(K152&gt;=80,"Needs Improvement","Corrective Education Required"))))</f>
        <v/>
      </c>
      <c r="M152" s="8" t="n"/>
      <c r="N152" s="9">
        <f>IF(K152="","",IF(K152&lt;80,"Yes","No"))</f>
        <v/>
      </c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>
        <f>IF(COUNT(F153:J153)&lt;5,"",ROUND(F153*0.30+G153*0.25+H153*0.25+I153*0.10+J153*0.10,1))</f>
        <v/>
      </c>
      <c r="L153" s="9">
        <f>IF(K153="","",IF(K153&gt;=95,"Excellent",IF(K153&gt;=90,"Meets Expectations",IF(K153&gt;=80,"Needs Improvement","Corrective Education Required"))))</f>
        <v/>
      </c>
      <c r="M153" s="8" t="n"/>
      <c r="N153" s="9">
        <f>IF(K153="","",IF(K153&lt;80,"Yes","No"))</f>
        <v/>
      </c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>
        <f>IF(COUNT(F154:J154)&lt;5,"",ROUND(F154*0.30+G154*0.25+H154*0.25+I154*0.10+J154*0.10,1))</f>
        <v/>
      </c>
      <c r="L154" s="9">
        <f>IF(K154="","",IF(K154&gt;=95,"Excellent",IF(K154&gt;=90,"Meets Expectations",IF(K154&gt;=80,"Needs Improvement","Corrective Education Required"))))</f>
        <v/>
      </c>
      <c r="M154" s="8" t="n"/>
      <c r="N154" s="9">
        <f>IF(K154="","",IF(K154&lt;80,"Yes","No"))</f>
        <v/>
      </c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>
        <f>IF(COUNT(F155:J155)&lt;5,"",ROUND(F155*0.30+G155*0.25+H155*0.25+I155*0.10+J155*0.10,1))</f>
        <v/>
      </c>
      <c r="L155" s="9">
        <f>IF(K155="","",IF(K155&gt;=95,"Excellent",IF(K155&gt;=90,"Meets Expectations",IF(K155&gt;=80,"Needs Improvement","Corrective Education Required"))))</f>
        <v/>
      </c>
      <c r="M155" s="8" t="n"/>
      <c r="N155" s="9">
        <f>IF(K155="","",IF(K155&lt;80,"Yes","No"))</f>
        <v/>
      </c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>
        <f>IF(COUNT(F156:J156)&lt;5,"",ROUND(F156*0.30+G156*0.25+H156*0.25+I156*0.10+J156*0.10,1))</f>
        <v/>
      </c>
      <c r="L156" s="9">
        <f>IF(K156="","",IF(K156&gt;=95,"Excellent",IF(K156&gt;=90,"Meets Expectations",IF(K156&gt;=80,"Needs Improvement","Corrective Education Required"))))</f>
        <v/>
      </c>
      <c r="M156" s="8" t="n"/>
      <c r="N156" s="9">
        <f>IF(K156="","",IF(K156&lt;80,"Yes","No"))</f>
        <v/>
      </c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>
        <f>IF(COUNT(F157:J157)&lt;5,"",ROUND(F157*0.30+G157*0.25+H157*0.25+I157*0.10+J157*0.10,1))</f>
        <v/>
      </c>
      <c r="L157" s="9">
        <f>IF(K157="","",IF(K157&gt;=95,"Excellent",IF(K157&gt;=90,"Meets Expectations",IF(K157&gt;=80,"Needs Improvement","Corrective Education Required"))))</f>
        <v/>
      </c>
      <c r="M157" s="8" t="n"/>
      <c r="N157" s="9">
        <f>IF(K157="","",IF(K157&lt;80,"Yes","No"))</f>
        <v/>
      </c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>
        <f>IF(COUNT(F158:J158)&lt;5,"",ROUND(F158*0.30+G158*0.25+H158*0.25+I158*0.10+J158*0.10,1))</f>
        <v/>
      </c>
      <c r="L158" s="9">
        <f>IF(K158="","",IF(K158&gt;=95,"Excellent",IF(K158&gt;=90,"Meets Expectations",IF(K158&gt;=80,"Needs Improvement","Corrective Education Required"))))</f>
        <v/>
      </c>
      <c r="M158" s="8" t="n"/>
      <c r="N158" s="9">
        <f>IF(K158="","",IF(K158&lt;80,"Yes","No"))</f>
        <v/>
      </c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>
        <f>IF(COUNT(F159:J159)&lt;5,"",ROUND(F159*0.30+G159*0.25+H159*0.25+I159*0.10+J159*0.10,1))</f>
        <v/>
      </c>
      <c r="L159" s="9">
        <f>IF(K159="","",IF(K159&gt;=95,"Excellent",IF(K159&gt;=90,"Meets Expectations",IF(K159&gt;=80,"Needs Improvement","Corrective Education Required"))))</f>
        <v/>
      </c>
      <c r="M159" s="8" t="n"/>
      <c r="N159" s="9">
        <f>IF(K159="","",IF(K159&lt;80,"Yes","No"))</f>
        <v/>
      </c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>
        <f>IF(COUNT(F160:J160)&lt;5,"",ROUND(F160*0.30+G160*0.25+H160*0.25+I160*0.10+J160*0.10,1))</f>
        <v/>
      </c>
      <c r="L160" s="9">
        <f>IF(K160="","",IF(K160&gt;=95,"Excellent",IF(K160&gt;=90,"Meets Expectations",IF(K160&gt;=80,"Needs Improvement","Corrective Education Required"))))</f>
        <v/>
      </c>
      <c r="M160" s="8" t="n"/>
      <c r="N160" s="9">
        <f>IF(K160="","",IF(K160&lt;80,"Yes","No"))</f>
        <v/>
      </c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>
        <f>IF(COUNT(F161:J161)&lt;5,"",ROUND(F161*0.30+G161*0.25+H161*0.25+I161*0.10+J161*0.10,1))</f>
        <v/>
      </c>
      <c r="L161" s="9">
        <f>IF(K161="","",IF(K161&gt;=95,"Excellent",IF(K161&gt;=90,"Meets Expectations",IF(K161&gt;=80,"Needs Improvement","Corrective Education Required"))))</f>
        <v/>
      </c>
      <c r="M161" s="8" t="n"/>
      <c r="N161" s="9">
        <f>IF(K161="","",IF(K161&lt;80,"Yes","No"))</f>
        <v/>
      </c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>
        <f>IF(COUNT(F162:J162)&lt;5,"",ROUND(F162*0.30+G162*0.25+H162*0.25+I162*0.10+J162*0.10,1))</f>
        <v/>
      </c>
      <c r="L162" s="9">
        <f>IF(K162="","",IF(K162&gt;=95,"Excellent",IF(K162&gt;=90,"Meets Expectations",IF(K162&gt;=80,"Needs Improvement","Corrective Education Required"))))</f>
        <v/>
      </c>
      <c r="M162" s="8" t="n"/>
      <c r="N162" s="9">
        <f>IF(K162="","",IF(K162&lt;80,"Yes","No"))</f>
        <v/>
      </c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>
        <f>IF(COUNT(F163:J163)&lt;5,"",ROUND(F163*0.30+G163*0.25+H163*0.25+I163*0.10+J163*0.10,1))</f>
        <v/>
      </c>
      <c r="L163" s="9">
        <f>IF(K163="","",IF(K163&gt;=95,"Excellent",IF(K163&gt;=90,"Meets Expectations",IF(K163&gt;=80,"Needs Improvement","Corrective Education Required"))))</f>
        <v/>
      </c>
      <c r="M163" s="8" t="n"/>
      <c r="N163" s="9">
        <f>IF(K163="","",IF(K163&lt;80,"Yes","No"))</f>
        <v/>
      </c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>
        <f>IF(COUNT(F164:J164)&lt;5,"",ROUND(F164*0.30+G164*0.25+H164*0.25+I164*0.10+J164*0.10,1))</f>
        <v/>
      </c>
      <c r="L164" s="9">
        <f>IF(K164="","",IF(K164&gt;=95,"Excellent",IF(K164&gt;=90,"Meets Expectations",IF(K164&gt;=80,"Needs Improvement","Corrective Education Required"))))</f>
        <v/>
      </c>
      <c r="M164" s="8" t="n"/>
      <c r="N164" s="9">
        <f>IF(K164="","",IF(K164&lt;80,"Yes","No"))</f>
        <v/>
      </c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>
        <f>IF(COUNT(F165:J165)&lt;5,"",ROUND(F165*0.30+G165*0.25+H165*0.25+I165*0.10+J165*0.10,1))</f>
        <v/>
      </c>
      <c r="L165" s="9">
        <f>IF(K165="","",IF(K165&gt;=95,"Excellent",IF(K165&gt;=90,"Meets Expectations",IF(K165&gt;=80,"Needs Improvement","Corrective Education Required"))))</f>
        <v/>
      </c>
      <c r="M165" s="8" t="n"/>
      <c r="N165" s="9">
        <f>IF(K165="","",IF(K165&lt;80,"Yes","No"))</f>
        <v/>
      </c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>
        <f>IF(COUNT(F166:J166)&lt;5,"",ROUND(F166*0.30+G166*0.25+H166*0.25+I166*0.10+J166*0.10,1))</f>
        <v/>
      </c>
      <c r="L166" s="9">
        <f>IF(K166="","",IF(K166&gt;=95,"Excellent",IF(K166&gt;=90,"Meets Expectations",IF(K166&gt;=80,"Needs Improvement","Corrective Education Required"))))</f>
        <v/>
      </c>
      <c r="M166" s="8" t="n"/>
      <c r="N166" s="9">
        <f>IF(K166="","",IF(K166&lt;80,"Yes","No"))</f>
        <v/>
      </c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>
        <f>IF(COUNT(F167:J167)&lt;5,"",ROUND(F167*0.30+G167*0.25+H167*0.25+I167*0.10+J167*0.10,1))</f>
        <v/>
      </c>
      <c r="L167" s="9">
        <f>IF(K167="","",IF(K167&gt;=95,"Excellent",IF(K167&gt;=90,"Meets Expectations",IF(K167&gt;=80,"Needs Improvement","Corrective Education Required"))))</f>
        <v/>
      </c>
      <c r="M167" s="8" t="n"/>
      <c r="N167" s="9">
        <f>IF(K167="","",IF(K167&lt;80,"Yes","No"))</f>
        <v/>
      </c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>
        <f>IF(COUNT(F168:J168)&lt;5,"",ROUND(F168*0.30+G168*0.25+H168*0.25+I168*0.10+J168*0.10,1))</f>
        <v/>
      </c>
      <c r="L168" s="9">
        <f>IF(K168="","",IF(K168&gt;=95,"Excellent",IF(K168&gt;=90,"Meets Expectations",IF(K168&gt;=80,"Needs Improvement","Corrective Education Required"))))</f>
        <v/>
      </c>
      <c r="M168" s="8" t="n"/>
      <c r="N168" s="9">
        <f>IF(K168="","",IF(K168&lt;80,"Yes","No"))</f>
        <v/>
      </c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>
        <f>IF(COUNT(F169:J169)&lt;5,"",ROUND(F169*0.30+G169*0.25+H169*0.25+I169*0.10+J169*0.10,1))</f>
        <v/>
      </c>
      <c r="L169" s="9">
        <f>IF(K169="","",IF(K169&gt;=95,"Excellent",IF(K169&gt;=90,"Meets Expectations",IF(K169&gt;=80,"Needs Improvement","Corrective Education Required"))))</f>
        <v/>
      </c>
      <c r="M169" s="8" t="n"/>
      <c r="N169" s="9">
        <f>IF(K169="","",IF(K169&lt;80,"Yes","No"))</f>
        <v/>
      </c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>
        <f>IF(COUNT(F170:J170)&lt;5,"",ROUND(F170*0.30+G170*0.25+H170*0.25+I170*0.10+J170*0.10,1))</f>
        <v/>
      </c>
      <c r="L170" s="9">
        <f>IF(K170="","",IF(K170&gt;=95,"Excellent",IF(K170&gt;=90,"Meets Expectations",IF(K170&gt;=80,"Needs Improvement","Corrective Education Required"))))</f>
        <v/>
      </c>
      <c r="M170" s="8" t="n"/>
      <c r="N170" s="9">
        <f>IF(K170="","",IF(K170&lt;80,"Yes","No"))</f>
        <v/>
      </c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>
        <f>IF(COUNT(F171:J171)&lt;5,"",ROUND(F171*0.30+G171*0.25+H171*0.25+I171*0.10+J171*0.10,1))</f>
        <v/>
      </c>
      <c r="L171" s="9">
        <f>IF(K171="","",IF(K171&gt;=95,"Excellent",IF(K171&gt;=90,"Meets Expectations",IF(K171&gt;=80,"Needs Improvement","Corrective Education Required"))))</f>
        <v/>
      </c>
      <c r="M171" s="8" t="n"/>
      <c r="N171" s="9">
        <f>IF(K171="","",IF(K171&lt;80,"Yes","No"))</f>
        <v/>
      </c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>
        <f>IF(COUNT(F172:J172)&lt;5,"",ROUND(F172*0.30+G172*0.25+H172*0.25+I172*0.10+J172*0.10,1))</f>
        <v/>
      </c>
      <c r="L172" s="9">
        <f>IF(K172="","",IF(K172&gt;=95,"Excellent",IF(K172&gt;=90,"Meets Expectations",IF(K172&gt;=80,"Needs Improvement","Corrective Education Required"))))</f>
        <v/>
      </c>
      <c r="M172" s="8" t="n"/>
      <c r="N172" s="9">
        <f>IF(K172="","",IF(K172&lt;80,"Yes","No"))</f>
        <v/>
      </c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>
        <f>IF(COUNT(F173:J173)&lt;5,"",ROUND(F173*0.30+G173*0.25+H173*0.25+I173*0.10+J173*0.10,1))</f>
        <v/>
      </c>
      <c r="L173" s="9">
        <f>IF(K173="","",IF(K173&gt;=95,"Excellent",IF(K173&gt;=90,"Meets Expectations",IF(K173&gt;=80,"Needs Improvement","Corrective Education Required"))))</f>
        <v/>
      </c>
      <c r="M173" s="8" t="n"/>
      <c r="N173" s="9">
        <f>IF(K173="","",IF(K173&lt;80,"Yes","No"))</f>
        <v/>
      </c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>
        <f>IF(COUNT(F174:J174)&lt;5,"",ROUND(F174*0.30+G174*0.25+H174*0.25+I174*0.10+J174*0.10,1))</f>
        <v/>
      </c>
      <c r="L174" s="9">
        <f>IF(K174="","",IF(K174&gt;=95,"Excellent",IF(K174&gt;=90,"Meets Expectations",IF(K174&gt;=80,"Needs Improvement","Corrective Education Required"))))</f>
        <v/>
      </c>
      <c r="M174" s="8" t="n"/>
      <c r="N174" s="9">
        <f>IF(K174="","",IF(K174&lt;80,"Yes","No"))</f>
        <v/>
      </c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>
        <f>IF(COUNT(F175:J175)&lt;5,"",ROUND(F175*0.30+G175*0.25+H175*0.25+I175*0.10+J175*0.10,1))</f>
        <v/>
      </c>
      <c r="L175" s="9">
        <f>IF(K175="","",IF(K175&gt;=95,"Excellent",IF(K175&gt;=90,"Meets Expectations",IF(K175&gt;=80,"Needs Improvement","Corrective Education Required"))))</f>
        <v/>
      </c>
      <c r="M175" s="8" t="n"/>
      <c r="N175" s="9">
        <f>IF(K175="","",IF(K175&lt;80,"Yes","No"))</f>
        <v/>
      </c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>
        <f>IF(COUNT(F176:J176)&lt;5,"",ROUND(F176*0.30+G176*0.25+H176*0.25+I176*0.10+J176*0.10,1))</f>
        <v/>
      </c>
      <c r="L176" s="9">
        <f>IF(K176="","",IF(K176&gt;=95,"Excellent",IF(K176&gt;=90,"Meets Expectations",IF(K176&gt;=80,"Needs Improvement","Corrective Education Required"))))</f>
        <v/>
      </c>
      <c r="M176" s="8" t="n"/>
      <c r="N176" s="9">
        <f>IF(K176="","",IF(K176&lt;80,"Yes","No"))</f>
        <v/>
      </c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>
        <f>IF(COUNT(F177:J177)&lt;5,"",ROUND(F177*0.30+G177*0.25+H177*0.25+I177*0.10+J177*0.10,1))</f>
        <v/>
      </c>
      <c r="L177" s="9">
        <f>IF(K177="","",IF(K177&gt;=95,"Excellent",IF(K177&gt;=90,"Meets Expectations",IF(K177&gt;=80,"Needs Improvement","Corrective Education Required"))))</f>
        <v/>
      </c>
      <c r="M177" s="8" t="n"/>
      <c r="N177" s="9">
        <f>IF(K177="","",IF(K177&lt;80,"Yes","No"))</f>
        <v/>
      </c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>
        <f>IF(COUNT(F178:J178)&lt;5,"",ROUND(F178*0.30+G178*0.25+H178*0.25+I178*0.10+J178*0.10,1))</f>
        <v/>
      </c>
      <c r="L178" s="9">
        <f>IF(K178="","",IF(K178&gt;=95,"Excellent",IF(K178&gt;=90,"Meets Expectations",IF(K178&gt;=80,"Needs Improvement","Corrective Education Required"))))</f>
        <v/>
      </c>
      <c r="M178" s="8" t="n"/>
      <c r="N178" s="9">
        <f>IF(K178="","",IF(K178&lt;80,"Yes","No"))</f>
        <v/>
      </c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>
        <f>IF(COUNT(F179:J179)&lt;5,"",ROUND(F179*0.30+G179*0.25+H179*0.25+I179*0.10+J179*0.10,1))</f>
        <v/>
      </c>
      <c r="L179" s="9">
        <f>IF(K179="","",IF(K179&gt;=95,"Excellent",IF(K179&gt;=90,"Meets Expectations",IF(K179&gt;=80,"Needs Improvement","Corrective Education Required"))))</f>
        <v/>
      </c>
      <c r="M179" s="8" t="n"/>
      <c r="N179" s="9">
        <f>IF(K179="","",IF(K179&lt;80,"Yes","No"))</f>
        <v/>
      </c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>
        <f>IF(COUNT(F180:J180)&lt;5,"",ROUND(F180*0.30+G180*0.25+H180*0.25+I180*0.10+J180*0.10,1))</f>
        <v/>
      </c>
      <c r="L180" s="9">
        <f>IF(K180="","",IF(K180&gt;=95,"Excellent",IF(K180&gt;=90,"Meets Expectations",IF(K180&gt;=80,"Needs Improvement","Corrective Education Required"))))</f>
        <v/>
      </c>
      <c r="M180" s="8" t="n"/>
      <c r="N180" s="9">
        <f>IF(K180="","",IF(K180&lt;80,"Yes","No"))</f>
        <v/>
      </c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>
        <f>IF(COUNT(F181:J181)&lt;5,"",ROUND(F181*0.30+G181*0.25+H181*0.25+I181*0.10+J181*0.10,1))</f>
        <v/>
      </c>
      <c r="L181" s="9">
        <f>IF(K181="","",IF(K181&gt;=95,"Excellent",IF(K181&gt;=90,"Meets Expectations",IF(K181&gt;=80,"Needs Improvement","Corrective Education Required"))))</f>
        <v/>
      </c>
      <c r="M181" s="8" t="n"/>
      <c r="N181" s="9">
        <f>IF(K181="","",IF(K181&lt;80,"Yes","No"))</f>
        <v/>
      </c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>
        <f>IF(COUNT(F182:J182)&lt;5,"",ROUND(F182*0.30+G182*0.25+H182*0.25+I182*0.10+J182*0.10,1))</f>
        <v/>
      </c>
      <c r="L182" s="9">
        <f>IF(K182="","",IF(K182&gt;=95,"Excellent",IF(K182&gt;=90,"Meets Expectations",IF(K182&gt;=80,"Needs Improvement","Corrective Education Required"))))</f>
        <v/>
      </c>
      <c r="M182" s="8" t="n"/>
      <c r="N182" s="9">
        <f>IF(K182="","",IF(K182&lt;80,"Yes","No"))</f>
        <v/>
      </c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>
        <f>IF(COUNT(F183:J183)&lt;5,"",ROUND(F183*0.30+G183*0.25+H183*0.25+I183*0.10+J183*0.10,1))</f>
        <v/>
      </c>
      <c r="L183" s="9">
        <f>IF(K183="","",IF(K183&gt;=95,"Excellent",IF(K183&gt;=90,"Meets Expectations",IF(K183&gt;=80,"Needs Improvement","Corrective Education Required"))))</f>
        <v/>
      </c>
      <c r="M183" s="8" t="n"/>
      <c r="N183" s="9">
        <f>IF(K183="","",IF(K183&lt;80,"Yes","No"))</f>
        <v/>
      </c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>
        <f>IF(COUNT(F184:J184)&lt;5,"",ROUND(F184*0.30+G184*0.25+H184*0.25+I184*0.10+J184*0.10,1))</f>
        <v/>
      </c>
      <c r="L184" s="9">
        <f>IF(K184="","",IF(K184&gt;=95,"Excellent",IF(K184&gt;=90,"Meets Expectations",IF(K184&gt;=80,"Needs Improvement","Corrective Education Required"))))</f>
        <v/>
      </c>
      <c r="M184" s="8" t="n"/>
      <c r="N184" s="9">
        <f>IF(K184="","",IF(K184&lt;80,"Yes","No"))</f>
        <v/>
      </c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>
        <f>IF(COUNT(F185:J185)&lt;5,"",ROUND(F185*0.30+G185*0.25+H185*0.25+I185*0.10+J185*0.10,1))</f>
        <v/>
      </c>
      <c r="L185" s="9">
        <f>IF(K185="","",IF(K185&gt;=95,"Excellent",IF(K185&gt;=90,"Meets Expectations",IF(K185&gt;=80,"Needs Improvement","Corrective Education Required"))))</f>
        <v/>
      </c>
      <c r="M185" s="8" t="n"/>
      <c r="N185" s="9">
        <f>IF(K185="","",IF(K185&lt;80,"Yes","No"))</f>
        <v/>
      </c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>
        <f>IF(COUNT(F186:J186)&lt;5,"",ROUND(F186*0.30+G186*0.25+H186*0.25+I186*0.10+J186*0.10,1))</f>
        <v/>
      </c>
      <c r="L186" s="9">
        <f>IF(K186="","",IF(K186&gt;=95,"Excellent",IF(K186&gt;=90,"Meets Expectations",IF(K186&gt;=80,"Needs Improvement","Corrective Education Required"))))</f>
        <v/>
      </c>
      <c r="M186" s="8" t="n"/>
      <c r="N186" s="9">
        <f>IF(K186="","",IF(K186&lt;80,"Yes","No"))</f>
        <v/>
      </c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>
        <f>IF(COUNT(F187:J187)&lt;5,"",ROUND(F187*0.30+G187*0.25+H187*0.25+I187*0.10+J187*0.10,1))</f>
        <v/>
      </c>
      <c r="L187" s="9">
        <f>IF(K187="","",IF(K187&gt;=95,"Excellent",IF(K187&gt;=90,"Meets Expectations",IF(K187&gt;=80,"Needs Improvement","Corrective Education Required"))))</f>
        <v/>
      </c>
      <c r="M187" s="8" t="n"/>
      <c r="N187" s="9">
        <f>IF(K187="","",IF(K187&lt;80,"Yes","No"))</f>
        <v/>
      </c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>
        <f>IF(COUNT(F188:J188)&lt;5,"",ROUND(F188*0.30+G188*0.25+H188*0.25+I188*0.10+J188*0.10,1))</f>
        <v/>
      </c>
      <c r="L188" s="9">
        <f>IF(K188="","",IF(K188&gt;=95,"Excellent",IF(K188&gt;=90,"Meets Expectations",IF(K188&gt;=80,"Needs Improvement","Corrective Education Required"))))</f>
        <v/>
      </c>
      <c r="M188" s="8" t="n"/>
      <c r="N188" s="9">
        <f>IF(K188="","",IF(K188&lt;80,"Yes","No"))</f>
        <v/>
      </c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>
        <f>IF(COUNT(F189:J189)&lt;5,"",ROUND(F189*0.30+G189*0.25+H189*0.25+I189*0.10+J189*0.10,1))</f>
        <v/>
      </c>
      <c r="L189" s="9">
        <f>IF(K189="","",IF(K189&gt;=95,"Excellent",IF(K189&gt;=90,"Meets Expectations",IF(K189&gt;=80,"Needs Improvement","Corrective Education Required"))))</f>
        <v/>
      </c>
      <c r="M189" s="8" t="n"/>
      <c r="N189" s="9">
        <f>IF(K189="","",IF(K189&lt;80,"Yes","No"))</f>
        <v/>
      </c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>
        <f>IF(COUNT(F190:J190)&lt;5,"",ROUND(F190*0.30+G190*0.25+H190*0.25+I190*0.10+J190*0.10,1))</f>
        <v/>
      </c>
      <c r="L190" s="9">
        <f>IF(K190="","",IF(K190&gt;=95,"Excellent",IF(K190&gt;=90,"Meets Expectations",IF(K190&gt;=80,"Needs Improvement","Corrective Education Required"))))</f>
        <v/>
      </c>
      <c r="M190" s="8" t="n"/>
      <c r="N190" s="9">
        <f>IF(K190="","",IF(K190&lt;80,"Yes","No"))</f>
        <v/>
      </c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>
        <f>IF(COUNT(F191:J191)&lt;5,"",ROUND(F191*0.30+G191*0.25+H191*0.25+I191*0.10+J191*0.10,1))</f>
        <v/>
      </c>
      <c r="L191" s="9">
        <f>IF(K191="","",IF(K191&gt;=95,"Excellent",IF(K191&gt;=90,"Meets Expectations",IF(K191&gt;=80,"Needs Improvement","Corrective Education Required"))))</f>
        <v/>
      </c>
      <c r="M191" s="8" t="n"/>
      <c r="N191" s="9">
        <f>IF(K191="","",IF(K191&lt;80,"Yes","No"))</f>
        <v/>
      </c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>
        <f>IF(COUNT(F192:J192)&lt;5,"",ROUND(F192*0.30+G192*0.25+H192*0.25+I192*0.10+J192*0.10,1))</f>
        <v/>
      </c>
      <c r="L192" s="9">
        <f>IF(K192="","",IF(K192&gt;=95,"Excellent",IF(K192&gt;=90,"Meets Expectations",IF(K192&gt;=80,"Needs Improvement","Corrective Education Required"))))</f>
        <v/>
      </c>
      <c r="M192" s="8" t="n"/>
      <c r="N192" s="9">
        <f>IF(K192="","",IF(K192&lt;80,"Yes","No"))</f>
        <v/>
      </c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>
        <f>IF(COUNT(F193:J193)&lt;5,"",ROUND(F193*0.30+G193*0.25+H193*0.25+I193*0.10+J193*0.10,1))</f>
        <v/>
      </c>
      <c r="L193" s="9">
        <f>IF(K193="","",IF(K193&gt;=95,"Excellent",IF(K193&gt;=90,"Meets Expectations",IF(K193&gt;=80,"Needs Improvement","Corrective Education Required"))))</f>
        <v/>
      </c>
      <c r="M193" s="8" t="n"/>
      <c r="N193" s="9">
        <f>IF(K193="","",IF(K193&lt;80,"Yes","No"))</f>
        <v/>
      </c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>
        <f>IF(COUNT(F194:J194)&lt;5,"",ROUND(F194*0.30+G194*0.25+H194*0.25+I194*0.10+J194*0.10,1))</f>
        <v/>
      </c>
      <c r="L194" s="9">
        <f>IF(K194="","",IF(K194&gt;=95,"Excellent",IF(K194&gt;=90,"Meets Expectations",IF(K194&gt;=80,"Needs Improvement","Corrective Education Required"))))</f>
        <v/>
      </c>
      <c r="M194" s="8" t="n"/>
      <c r="N194" s="9">
        <f>IF(K194="","",IF(K194&lt;80,"Yes","No"))</f>
        <v/>
      </c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>
        <f>IF(COUNT(F195:J195)&lt;5,"",ROUND(F195*0.30+G195*0.25+H195*0.25+I195*0.10+J195*0.10,1))</f>
        <v/>
      </c>
      <c r="L195" s="9">
        <f>IF(K195="","",IF(K195&gt;=95,"Excellent",IF(K195&gt;=90,"Meets Expectations",IF(K195&gt;=80,"Needs Improvement","Corrective Education Required"))))</f>
        <v/>
      </c>
      <c r="M195" s="8" t="n"/>
      <c r="N195" s="9">
        <f>IF(K195="","",IF(K195&lt;80,"Yes","No"))</f>
        <v/>
      </c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>
        <f>IF(COUNT(F196:J196)&lt;5,"",ROUND(F196*0.30+G196*0.25+H196*0.25+I196*0.10+J196*0.10,1))</f>
        <v/>
      </c>
      <c r="L196" s="9">
        <f>IF(K196="","",IF(K196&gt;=95,"Excellent",IF(K196&gt;=90,"Meets Expectations",IF(K196&gt;=80,"Needs Improvement","Corrective Education Required"))))</f>
        <v/>
      </c>
      <c r="M196" s="8" t="n"/>
      <c r="N196" s="9">
        <f>IF(K196="","",IF(K196&lt;80,"Yes","No"))</f>
        <v/>
      </c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>
        <f>IF(COUNT(F197:J197)&lt;5,"",ROUND(F197*0.30+G197*0.25+H197*0.25+I197*0.10+J197*0.10,1))</f>
        <v/>
      </c>
      <c r="L197" s="9">
        <f>IF(K197="","",IF(K197&gt;=95,"Excellent",IF(K197&gt;=90,"Meets Expectations",IF(K197&gt;=80,"Needs Improvement","Corrective Education Required"))))</f>
        <v/>
      </c>
      <c r="M197" s="8" t="n"/>
      <c r="N197" s="9">
        <f>IF(K197="","",IF(K197&lt;80,"Yes","No"))</f>
        <v/>
      </c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>
        <f>IF(COUNT(F198:J198)&lt;5,"",ROUND(F198*0.30+G198*0.25+H198*0.25+I198*0.10+J198*0.10,1))</f>
        <v/>
      </c>
      <c r="L198" s="9">
        <f>IF(K198="","",IF(K198&gt;=95,"Excellent",IF(K198&gt;=90,"Meets Expectations",IF(K198&gt;=80,"Needs Improvement","Corrective Education Required"))))</f>
        <v/>
      </c>
      <c r="M198" s="8" t="n"/>
      <c r="N198" s="9">
        <f>IF(K198="","",IF(K198&lt;80,"Yes","No"))</f>
        <v/>
      </c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>
        <f>IF(COUNT(F199:J199)&lt;5,"",ROUND(F199*0.30+G199*0.25+H199*0.25+I199*0.10+J199*0.10,1))</f>
        <v/>
      </c>
      <c r="L199" s="9">
        <f>IF(K199="","",IF(K199&gt;=95,"Excellent",IF(K199&gt;=90,"Meets Expectations",IF(K199&gt;=80,"Needs Improvement","Corrective Education Required"))))</f>
        <v/>
      </c>
      <c r="M199" s="8" t="n"/>
      <c r="N199" s="9">
        <f>IF(K199="","",IF(K199&lt;80,"Yes","No"))</f>
        <v/>
      </c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>
        <f>IF(COUNT(F200:J200)&lt;5,"",ROUND(F200*0.30+G200*0.25+H200*0.25+I200*0.10+J200*0.10,1))</f>
        <v/>
      </c>
      <c r="L200" s="9">
        <f>IF(K200="","",IF(K200&gt;=95,"Excellent",IF(K200&gt;=90,"Meets Expectations",IF(K200&gt;=80,"Needs Improvement","Corrective Education Required"))))</f>
        <v/>
      </c>
      <c r="M200" s="8" t="n"/>
      <c r="N200" s="9">
        <f>IF(K200="","",IF(K200&lt;80,"Yes","No"))</f>
        <v/>
      </c>
    </row>
  </sheetData>
  <mergeCells count="2">
    <mergeCell ref="A2:N2"/>
    <mergeCell ref="A1:N1"/>
  </mergeCells>
  <conditionalFormatting sqref="K5:K200">
    <cfRule type="cellIs" priority="1" operator="greaterThanOrEqual" dxfId="0">
      <formula>95</formula>
    </cfRule>
    <cfRule type="cellIs" priority="2" operator="between" dxfId="1">
      <formula>90</formula>
      <formula>94.9</formula>
    </cfRule>
    <cfRule type="cellIs" priority="3" operator="between" dxfId="2">
      <formula>80</formula>
      <formula>89.9</formula>
    </cfRule>
    <cfRule type="cellIs" priority="4" operator="lessThan" dxfId="3">
      <formula>80</formula>
    </cfRule>
  </conditionalFormatting>
  <conditionalFormatting sqref="L5:L200">
    <cfRule type="expression" priority="5" dxfId="0">
      <formula>$L5="Excellent"</formula>
    </cfRule>
    <cfRule type="expression" priority="6" dxfId="1">
      <formula>$L5="Meets Expectations"</formula>
    </cfRule>
    <cfRule type="expression" priority="7" dxfId="2">
      <formula>$L5="Needs Improvement"</formula>
    </cfRule>
    <cfRule type="expression" priority="8" dxfId="3">
      <formula>$L5="Corrective Education Required"</formula>
    </cfRule>
  </conditionalFormatting>
  <dataValidations count="1">
    <dataValidation sqref="F5:J200" showDropDown="0" showInputMessage="0" showErrorMessage="0" allowBlank="1" type="whole" operator="between">
      <formula1>0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766E"/>
    <outlinePr summaryBelow="1" summaryRight="1"/>
    <pageSetUpPr/>
  </sheetPr>
  <dimension ref="A1:L20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0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2" customWidth="1" min="10" max="10"/>
    <col width="14" customWidth="1" min="11" max="11"/>
    <col width="30" customWidth="1" min="12" max="12"/>
  </cols>
  <sheetData>
    <row r="1" ht="30" customHeight="1">
      <c r="A1" s="1" t="inlineStr">
        <is>
          <t>MEAT Validation — Per Diagnosis</t>
        </is>
      </c>
    </row>
    <row r="2" ht="20" customHeight="1">
      <c r="A2" s="2" t="inlineStr">
        <is>
          <t>One row per chronic diagnosis reported. All four MEAT elements must be documented for a valid capture.</t>
        </is>
      </c>
    </row>
    <row r="4">
      <c r="A4" s="7" t="inlineStr">
        <is>
          <t>Provider ID</t>
        </is>
      </c>
      <c r="B4" s="7" t="inlineStr">
        <is>
          <t>Chart #</t>
        </is>
      </c>
      <c r="C4" s="7" t="inlineStr">
        <is>
          <t>ICD-10 Code</t>
        </is>
      </c>
      <c r="D4" s="7" t="inlineStr">
        <is>
          <t>Diagnosis Description</t>
        </is>
      </c>
      <c r="E4" s="7" t="inlineStr">
        <is>
          <t>Monitor (Y/N)</t>
        </is>
      </c>
      <c r="F4" s="7" t="inlineStr">
        <is>
          <t>Evaluate (Y/N)</t>
        </is>
      </c>
      <c r="G4" s="7" t="inlineStr">
        <is>
          <t>Assess/Address (Y/N)</t>
        </is>
      </c>
      <c r="H4" s="7" t="inlineStr">
        <is>
          <t>Treat (Y/N)</t>
        </is>
      </c>
      <c r="I4" s="7" t="inlineStr">
        <is>
          <t>MEAT Score (0-4)</t>
        </is>
      </c>
      <c r="J4" s="7" t="inlineStr">
        <is>
          <t>Supported?</t>
        </is>
      </c>
      <c r="K4" s="7" t="inlineStr">
        <is>
          <t>Chronic Condition?</t>
        </is>
      </c>
      <c r="L4" s="7" t="inlineStr">
        <is>
          <t>Notes</t>
        </is>
      </c>
    </row>
    <row r="5">
      <c r="A5" s="9" t="n"/>
      <c r="B5" s="9" t="n"/>
      <c r="C5" s="9" t="n"/>
      <c r="D5" s="8" t="n"/>
      <c r="E5" s="9" t="n"/>
      <c r="F5" s="9" t="n"/>
      <c r="G5" s="9" t="n"/>
      <c r="H5" s="9" t="n"/>
      <c r="I5" s="9">
        <f>IF(COUNTIF(E5:H5,"Y")+COUNTIF(E5:H5,"N")=0,"",COUNTIF(E5:H5,"Y"))</f>
        <v/>
      </c>
      <c r="J5" s="9">
        <f>IF(I5="","",IF(I5=4,"Yes","No"))</f>
        <v/>
      </c>
      <c r="K5" s="9" t="n"/>
      <c r="L5" s="8" t="n"/>
    </row>
    <row r="6">
      <c r="A6" s="9" t="n"/>
      <c r="B6" s="9" t="n"/>
      <c r="C6" s="9" t="n"/>
      <c r="D6" s="8" t="n"/>
      <c r="E6" s="9" t="n"/>
      <c r="F6" s="9" t="n"/>
      <c r="G6" s="9" t="n"/>
      <c r="H6" s="9" t="n"/>
      <c r="I6" s="9">
        <f>IF(COUNTIF(E6:H6,"Y")+COUNTIF(E6:H6,"N")=0,"",COUNTIF(E6:H6,"Y"))</f>
        <v/>
      </c>
      <c r="J6" s="9">
        <f>IF(I6="","",IF(I6=4,"Yes","No"))</f>
        <v/>
      </c>
      <c r="K6" s="9" t="n"/>
      <c r="L6" s="8" t="n"/>
    </row>
    <row r="7">
      <c r="A7" s="9" t="n"/>
      <c r="B7" s="9" t="n"/>
      <c r="C7" s="9" t="n"/>
      <c r="D7" s="8" t="n"/>
      <c r="E7" s="9" t="n"/>
      <c r="F7" s="9" t="n"/>
      <c r="G7" s="9" t="n"/>
      <c r="H7" s="9" t="n"/>
      <c r="I7" s="9">
        <f>IF(COUNTIF(E7:H7,"Y")+COUNTIF(E7:H7,"N")=0,"",COUNTIF(E7:H7,"Y"))</f>
        <v/>
      </c>
      <c r="J7" s="9">
        <f>IF(I7="","",IF(I7=4,"Yes","No"))</f>
        <v/>
      </c>
      <c r="K7" s="9" t="n"/>
      <c r="L7" s="8" t="n"/>
    </row>
    <row r="8">
      <c r="A8" s="9" t="n"/>
      <c r="B8" s="9" t="n"/>
      <c r="C8" s="9" t="n"/>
      <c r="D8" s="8" t="n"/>
      <c r="E8" s="9" t="n"/>
      <c r="F8" s="9" t="n"/>
      <c r="G8" s="9" t="n"/>
      <c r="H8" s="9" t="n"/>
      <c r="I8" s="9">
        <f>IF(COUNTIF(E8:H8,"Y")+COUNTIF(E8:H8,"N")=0,"",COUNTIF(E8:H8,"Y"))</f>
        <v/>
      </c>
      <c r="J8" s="9">
        <f>IF(I8="","",IF(I8=4,"Yes","No"))</f>
        <v/>
      </c>
      <c r="K8" s="9" t="n"/>
      <c r="L8" s="8" t="n"/>
    </row>
    <row r="9">
      <c r="A9" s="9" t="n"/>
      <c r="B9" s="9" t="n"/>
      <c r="C9" s="9" t="n"/>
      <c r="D9" s="8" t="n"/>
      <c r="E9" s="9" t="n"/>
      <c r="F9" s="9" t="n"/>
      <c r="G9" s="9" t="n"/>
      <c r="H9" s="9" t="n"/>
      <c r="I9" s="9">
        <f>IF(COUNTIF(E9:H9,"Y")+COUNTIF(E9:H9,"N")=0,"",COUNTIF(E9:H9,"Y"))</f>
        <v/>
      </c>
      <c r="J9" s="9">
        <f>IF(I9="","",IF(I9=4,"Yes","No"))</f>
        <v/>
      </c>
      <c r="K9" s="9" t="n"/>
      <c r="L9" s="8" t="n"/>
    </row>
    <row r="10">
      <c r="A10" s="9" t="n"/>
      <c r="B10" s="9" t="n"/>
      <c r="C10" s="9" t="n"/>
      <c r="D10" s="8" t="n"/>
      <c r="E10" s="9" t="n"/>
      <c r="F10" s="9" t="n"/>
      <c r="G10" s="9" t="n"/>
      <c r="H10" s="9" t="n"/>
      <c r="I10" s="9">
        <f>IF(COUNTIF(E10:H10,"Y")+COUNTIF(E10:H10,"N")=0,"",COUNTIF(E10:H10,"Y"))</f>
        <v/>
      </c>
      <c r="J10" s="9">
        <f>IF(I10="","",IF(I10=4,"Yes","No"))</f>
        <v/>
      </c>
      <c r="K10" s="9" t="n"/>
      <c r="L10" s="8" t="n"/>
    </row>
    <row r="11">
      <c r="A11" s="9" t="n"/>
      <c r="B11" s="9" t="n"/>
      <c r="C11" s="9" t="n"/>
      <c r="D11" s="8" t="n"/>
      <c r="E11" s="9" t="n"/>
      <c r="F11" s="9" t="n"/>
      <c r="G11" s="9" t="n"/>
      <c r="H11" s="9" t="n"/>
      <c r="I11" s="9">
        <f>IF(COUNTIF(E11:H11,"Y")+COUNTIF(E11:H11,"N")=0,"",COUNTIF(E11:H11,"Y"))</f>
        <v/>
      </c>
      <c r="J11" s="9">
        <f>IF(I11="","",IF(I11=4,"Yes","No"))</f>
        <v/>
      </c>
      <c r="K11" s="9" t="n"/>
      <c r="L11" s="8" t="n"/>
    </row>
    <row r="12">
      <c r="A12" s="9" t="n"/>
      <c r="B12" s="9" t="n"/>
      <c r="C12" s="9" t="n"/>
      <c r="D12" s="8" t="n"/>
      <c r="E12" s="9" t="n"/>
      <c r="F12" s="9" t="n"/>
      <c r="G12" s="9" t="n"/>
      <c r="H12" s="9" t="n"/>
      <c r="I12" s="9">
        <f>IF(COUNTIF(E12:H12,"Y")+COUNTIF(E12:H12,"N")=0,"",COUNTIF(E12:H12,"Y"))</f>
        <v/>
      </c>
      <c r="J12" s="9">
        <f>IF(I12="","",IF(I12=4,"Yes","No"))</f>
        <v/>
      </c>
      <c r="K12" s="9" t="n"/>
      <c r="L12" s="8" t="n"/>
    </row>
    <row r="13">
      <c r="A13" s="9" t="n"/>
      <c r="B13" s="9" t="n"/>
      <c r="C13" s="9" t="n"/>
      <c r="D13" s="8" t="n"/>
      <c r="E13" s="9" t="n"/>
      <c r="F13" s="9" t="n"/>
      <c r="G13" s="9" t="n"/>
      <c r="H13" s="9" t="n"/>
      <c r="I13" s="9">
        <f>IF(COUNTIF(E13:H13,"Y")+COUNTIF(E13:H13,"N")=0,"",COUNTIF(E13:H13,"Y"))</f>
        <v/>
      </c>
      <c r="J13" s="9">
        <f>IF(I13="","",IF(I13=4,"Yes","No"))</f>
        <v/>
      </c>
      <c r="K13" s="9" t="n"/>
      <c r="L13" s="8" t="n"/>
    </row>
    <row r="14">
      <c r="A14" s="9" t="n"/>
      <c r="B14" s="9" t="n"/>
      <c r="C14" s="9" t="n"/>
      <c r="D14" s="8" t="n"/>
      <c r="E14" s="9" t="n"/>
      <c r="F14" s="9" t="n"/>
      <c r="G14" s="9" t="n"/>
      <c r="H14" s="9" t="n"/>
      <c r="I14" s="9">
        <f>IF(COUNTIF(E14:H14,"Y")+COUNTIF(E14:H14,"N")=0,"",COUNTIF(E14:H14,"Y"))</f>
        <v/>
      </c>
      <c r="J14" s="9">
        <f>IF(I14="","",IF(I14=4,"Yes","No"))</f>
        <v/>
      </c>
      <c r="K14" s="9" t="n"/>
      <c r="L14" s="8" t="n"/>
    </row>
    <row r="15">
      <c r="A15" s="9" t="n"/>
      <c r="B15" s="9" t="n"/>
      <c r="C15" s="9" t="n"/>
      <c r="D15" s="8" t="n"/>
      <c r="E15" s="9" t="n"/>
      <c r="F15" s="9" t="n"/>
      <c r="G15" s="9" t="n"/>
      <c r="H15" s="9" t="n"/>
      <c r="I15" s="9">
        <f>IF(COUNTIF(E15:H15,"Y")+COUNTIF(E15:H15,"N")=0,"",COUNTIF(E15:H15,"Y"))</f>
        <v/>
      </c>
      <c r="J15" s="9">
        <f>IF(I15="","",IF(I15=4,"Yes","No"))</f>
        <v/>
      </c>
      <c r="K15" s="9" t="n"/>
      <c r="L15" s="8" t="n"/>
    </row>
    <row r="16">
      <c r="A16" s="9" t="n"/>
      <c r="B16" s="9" t="n"/>
      <c r="C16" s="9" t="n"/>
      <c r="D16" s="8" t="n"/>
      <c r="E16" s="9" t="n"/>
      <c r="F16" s="9" t="n"/>
      <c r="G16" s="9" t="n"/>
      <c r="H16" s="9" t="n"/>
      <c r="I16" s="9">
        <f>IF(COUNTIF(E16:H16,"Y")+COUNTIF(E16:H16,"N")=0,"",COUNTIF(E16:H16,"Y"))</f>
        <v/>
      </c>
      <c r="J16" s="9">
        <f>IF(I16="","",IF(I16=4,"Yes","No"))</f>
        <v/>
      </c>
      <c r="K16" s="9" t="n"/>
      <c r="L16" s="8" t="n"/>
    </row>
    <row r="17">
      <c r="A17" s="9" t="n"/>
      <c r="B17" s="9" t="n"/>
      <c r="C17" s="9" t="n"/>
      <c r="D17" s="8" t="n"/>
      <c r="E17" s="9" t="n"/>
      <c r="F17" s="9" t="n"/>
      <c r="G17" s="9" t="n"/>
      <c r="H17" s="9" t="n"/>
      <c r="I17" s="9">
        <f>IF(COUNTIF(E17:H17,"Y")+COUNTIF(E17:H17,"N")=0,"",COUNTIF(E17:H17,"Y"))</f>
        <v/>
      </c>
      <c r="J17" s="9">
        <f>IF(I17="","",IF(I17=4,"Yes","No"))</f>
        <v/>
      </c>
      <c r="K17" s="9" t="n"/>
      <c r="L17" s="8" t="n"/>
    </row>
    <row r="18">
      <c r="A18" s="9" t="n"/>
      <c r="B18" s="9" t="n"/>
      <c r="C18" s="9" t="n"/>
      <c r="D18" s="8" t="n"/>
      <c r="E18" s="9" t="n"/>
      <c r="F18" s="9" t="n"/>
      <c r="G18" s="9" t="n"/>
      <c r="H18" s="9" t="n"/>
      <c r="I18" s="9">
        <f>IF(COUNTIF(E18:H18,"Y")+COUNTIF(E18:H18,"N")=0,"",COUNTIF(E18:H18,"Y"))</f>
        <v/>
      </c>
      <c r="J18" s="9">
        <f>IF(I18="","",IF(I18=4,"Yes","No"))</f>
        <v/>
      </c>
      <c r="K18" s="9" t="n"/>
      <c r="L18" s="8" t="n"/>
    </row>
    <row r="19">
      <c r="A19" s="9" t="n"/>
      <c r="B19" s="9" t="n"/>
      <c r="C19" s="9" t="n"/>
      <c r="D19" s="8" t="n"/>
      <c r="E19" s="9" t="n"/>
      <c r="F19" s="9" t="n"/>
      <c r="G19" s="9" t="n"/>
      <c r="H19" s="9" t="n"/>
      <c r="I19" s="9">
        <f>IF(COUNTIF(E19:H19,"Y")+COUNTIF(E19:H19,"N")=0,"",COUNTIF(E19:H19,"Y"))</f>
        <v/>
      </c>
      <c r="J19" s="9">
        <f>IF(I19="","",IF(I19=4,"Yes","No"))</f>
        <v/>
      </c>
      <c r="K19" s="9" t="n"/>
      <c r="L19" s="8" t="n"/>
    </row>
    <row r="20">
      <c r="A20" s="9" t="n"/>
      <c r="B20" s="9" t="n"/>
      <c r="C20" s="9" t="n"/>
      <c r="D20" s="8" t="n"/>
      <c r="E20" s="9" t="n"/>
      <c r="F20" s="9" t="n"/>
      <c r="G20" s="9" t="n"/>
      <c r="H20" s="9" t="n"/>
      <c r="I20" s="9">
        <f>IF(COUNTIF(E20:H20,"Y")+COUNTIF(E20:H20,"N")=0,"",COUNTIF(E20:H20,"Y"))</f>
        <v/>
      </c>
      <c r="J20" s="9">
        <f>IF(I20="","",IF(I20=4,"Yes","No"))</f>
        <v/>
      </c>
      <c r="K20" s="9" t="n"/>
      <c r="L20" s="8" t="n"/>
    </row>
    <row r="21">
      <c r="A21" s="9" t="n"/>
      <c r="B21" s="9" t="n"/>
      <c r="C21" s="9" t="n"/>
      <c r="D21" s="8" t="n"/>
      <c r="E21" s="9" t="n"/>
      <c r="F21" s="9" t="n"/>
      <c r="G21" s="9" t="n"/>
      <c r="H21" s="9" t="n"/>
      <c r="I21" s="9">
        <f>IF(COUNTIF(E21:H21,"Y")+COUNTIF(E21:H21,"N")=0,"",COUNTIF(E21:H21,"Y"))</f>
        <v/>
      </c>
      <c r="J21" s="9">
        <f>IF(I21="","",IF(I21=4,"Yes","No"))</f>
        <v/>
      </c>
      <c r="K21" s="9" t="n"/>
      <c r="L21" s="8" t="n"/>
    </row>
    <row r="22">
      <c r="A22" s="9" t="n"/>
      <c r="B22" s="9" t="n"/>
      <c r="C22" s="9" t="n"/>
      <c r="D22" s="8" t="n"/>
      <c r="E22" s="9" t="n"/>
      <c r="F22" s="9" t="n"/>
      <c r="G22" s="9" t="n"/>
      <c r="H22" s="9" t="n"/>
      <c r="I22" s="9">
        <f>IF(COUNTIF(E22:H22,"Y")+COUNTIF(E22:H22,"N")=0,"",COUNTIF(E22:H22,"Y"))</f>
        <v/>
      </c>
      <c r="J22" s="9">
        <f>IF(I22="","",IF(I22=4,"Yes","No"))</f>
        <v/>
      </c>
      <c r="K22" s="9" t="n"/>
      <c r="L22" s="8" t="n"/>
    </row>
    <row r="23">
      <c r="A23" s="9" t="n"/>
      <c r="B23" s="9" t="n"/>
      <c r="C23" s="9" t="n"/>
      <c r="D23" s="8" t="n"/>
      <c r="E23" s="9" t="n"/>
      <c r="F23" s="9" t="n"/>
      <c r="G23" s="9" t="n"/>
      <c r="H23" s="9" t="n"/>
      <c r="I23" s="9">
        <f>IF(COUNTIF(E23:H23,"Y")+COUNTIF(E23:H23,"N")=0,"",COUNTIF(E23:H23,"Y"))</f>
        <v/>
      </c>
      <c r="J23" s="9">
        <f>IF(I23="","",IF(I23=4,"Yes","No"))</f>
        <v/>
      </c>
      <c r="K23" s="9" t="n"/>
      <c r="L23" s="8" t="n"/>
    </row>
    <row r="24">
      <c r="A24" s="9" t="n"/>
      <c r="B24" s="9" t="n"/>
      <c r="C24" s="9" t="n"/>
      <c r="D24" s="8" t="n"/>
      <c r="E24" s="9" t="n"/>
      <c r="F24" s="9" t="n"/>
      <c r="G24" s="9" t="n"/>
      <c r="H24" s="9" t="n"/>
      <c r="I24" s="9">
        <f>IF(COUNTIF(E24:H24,"Y")+COUNTIF(E24:H24,"N")=0,"",COUNTIF(E24:H24,"Y"))</f>
        <v/>
      </c>
      <c r="J24" s="9">
        <f>IF(I24="","",IF(I24=4,"Yes","No"))</f>
        <v/>
      </c>
      <c r="K24" s="9" t="n"/>
      <c r="L24" s="8" t="n"/>
    </row>
    <row r="25">
      <c r="A25" s="9" t="n"/>
      <c r="B25" s="9" t="n"/>
      <c r="C25" s="9" t="n"/>
      <c r="D25" s="8" t="n"/>
      <c r="E25" s="9" t="n"/>
      <c r="F25" s="9" t="n"/>
      <c r="G25" s="9" t="n"/>
      <c r="H25" s="9" t="n"/>
      <c r="I25" s="9">
        <f>IF(COUNTIF(E25:H25,"Y")+COUNTIF(E25:H25,"N")=0,"",COUNTIF(E25:H25,"Y"))</f>
        <v/>
      </c>
      <c r="J25" s="9">
        <f>IF(I25="","",IF(I25=4,"Yes","No"))</f>
        <v/>
      </c>
      <c r="K25" s="9" t="n"/>
      <c r="L25" s="8" t="n"/>
    </row>
    <row r="26">
      <c r="A26" s="9" t="n"/>
      <c r="B26" s="9" t="n"/>
      <c r="C26" s="9" t="n"/>
      <c r="D26" s="8" t="n"/>
      <c r="E26" s="9" t="n"/>
      <c r="F26" s="9" t="n"/>
      <c r="G26" s="9" t="n"/>
      <c r="H26" s="9" t="n"/>
      <c r="I26" s="9">
        <f>IF(COUNTIF(E26:H26,"Y")+COUNTIF(E26:H26,"N")=0,"",COUNTIF(E26:H26,"Y"))</f>
        <v/>
      </c>
      <c r="J26" s="9">
        <f>IF(I26="","",IF(I26=4,"Yes","No"))</f>
        <v/>
      </c>
      <c r="K26" s="9" t="n"/>
      <c r="L26" s="8" t="n"/>
    </row>
    <row r="27">
      <c r="A27" s="9" t="n"/>
      <c r="B27" s="9" t="n"/>
      <c r="C27" s="9" t="n"/>
      <c r="D27" s="8" t="n"/>
      <c r="E27" s="9" t="n"/>
      <c r="F27" s="9" t="n"/>
      <c r="G27" s="9" t="n"/>
      <c r="H27" s="9" t="n"/>
      <c r="I27" s="9">
        <f>IF(COUNTIF(E27:H27,"Y")+COUNTIF(E27:H27,"N")=0,"",COUNTIF(E27:H27,"Y"))</f>
        <v/>
      </c>
      <c r="J27" s="9">
        <f>IF(I27="","",IF(I27=4,"Yes","No"))</f>
        <v/>
      </c>
      <c r="K27" s="9" t="n"/>
      <c r="L27" s="8" t="n"/>
    </row>
    <row r="28">
      <c r="A28" s="9" t="n"/>
      <c r="B28" s="9" t="n"/>
      <c r="C28" s="9" t="n"/>
      <c r="D28" s="8" t="n"/>
      <c r="E28" s="9" t="n"/>
      <c r="F28" s="9" t="n"/>
      <c r="G28" s="9" t="n"/>
      <c r="H28" s="9" t="n"/>
      <c r="I28" s="9">
        <f>IF(COUNTIF(E28:H28,"Y")+COUNTIF(E28:H28,"N")=0,"",COUNTIF(E28:H28,"Y"))</f>
        <v/>
      </c>
      <c r="J28" s="9">
        <f>IF(I28="","",IF(I28=4,"Yes","No"))</f>
        <v/>
      </c>
      <c r="K28" s="9" t="n"/>
      <c r="L28" s="8" t="n"/>
    </row>
    <row r="29">
      <c r="A29" s="9" t="n"/>
      <c r="B29" s="9" t="n"/>
      <c r="C29" s="9" t="n"/>
      <c r="D29" s="8" t="n"/>
      <c r="E29" s="9" t="n"/>
      <c r="F29" s="9" t="n"/>
      <c r="G29" s="9" t="n"/>
      <c r="H29" s="9" t="n"/>
      <c r="I29" s="9">
        <f>IF(COUNTIF(E29:H29,"Y")+COUNTIF(E29:H29,"N")=0,"",COUNTIF(E29:H29,"Y"))</f>
        <v/>
      </c>
      <c r="J29" s="9">
        <f>IF(I29="","",IF(I29=4,"Yes","No"))</f>
        <v/>
      </c>
      <c r="K29" s="9" t="n"/>
      <c r="L29" s="8" t="n"/>
    </row>
    <row r="30">
      <c r="A30" s="9" t="n"/>
      <c r="B30" s="9" t="n"/>
      <c r="C30" s="9" t="n"/>
      <c r="D30" s="8" t="n"/>
      <c r="E30" s="9" t="n"/>
      <c r="F30" s="9" t="n"/>
      <c r="G30" s="9" t="n"/>
      <c r="H30" s="9" t="n"/>
      <c r="I30" s="9">
        <f>IF(COUNTIF(E30:H30,"Y")+COUNTIF(E30:H30,"N")=0,"",COUNTIF(E30:H30,"Y"))</f>
        <v/>
      </c>
      <c r="J30" s="9">
        <f>IF(I30="","",IF(I30=4,"Yes","No"))</f>
        <v/>
      </c>
      <c r="K30" s="9" t="n"/>
      <c r="L30" s="8" t="n"/>
    </row>
    <row r="31">
      <c r="A31" s="9" t="n"/>
      <c r="B31" s="9" t="n"/>
      <c r="C31" s="9" t="n"/>
      <c r="D31" s="8" t="n"/>
      <c r="E31" s="9" t="n"/>
      <c r="F31" s="9" t="n"/>
      <c r="G31" s="9" t="n"/>
      <c r="H31" s="9" t="n"/>
      <c r="I31" s="9">
        <f>IF(COUNTIF(E31:H31,"Y")+COUNTIF(E31:H31,"N")=0,"",COUNTIF(E31:H31,"Y"))</f>
        <v/>
      </c>
      <c r="J31" s="9">
        <f>IF(I31="","",IF(I31=4,"Yes","No"))</f>
        <v/>
      </c>
      <c r="K31" s="9" t="n"/>
      <c r="L31" s="8" t="n"/>
    </row>
    <row r="32">
      <c r="A32" s="9" t="n"/>
      <c r="B32" s="9" t="n"/>
      <c r="C32" s="9" t="n"/>
      <c r="D32" s="8" t="n"/>
      <c r="E32" s="9" t="n"/>
      <c r="F32" s="9" t="n"/>
      <c r="G32" s="9" t="n"/>
      <c r="H32" s="9" t="n"/>
      <c r="I32" s="9">
        <f>IF(COUNTIF(E32:H32,"Y")+COUNTIF(E32:H32,"N")=0,"",COUNTIF(E32:H32,"Y"))</f>
        <v/>
      </c>
      <c r="J32" s="9">
        <f>IF(I32="","",IF(I32=4,"Yes","No"))</f>
        <v/>
      </c>
      <c r="K32" s="9" t="n"/>
      <c r="L32" s="8" t="n"/>
    </row>
    <row r="33">
      <c r="A33" s="9" t="n"/>
      <c r="B33" s="9" t="n"/>
      <c r="C33" s="9" t="n"/>
      <c r="D33" s="8" t="n"/>
      <c r="E33" s="9" t="n"/>
      <c r="F33" s="9" t="n"/>
      <c r="G33" s="9" t="n"/>
      <c r="H33" s="9" t="n"/>
      <c r="I33" s="9">
        <f>IF(COUNTIF(E33:H33,"Y")+COUNTIF(E33:H33,"N")=0,"",COUNTIF(E33:H33,"Y"))</f>
        <v/>
      </c>
      <c r="J33" s="9">
        <f>IF(I33="","",IF(I33=4,"Yes","No"))</f>
        <v/>
      </c>
      <c r="K33" s="9" t="n"/>
      <c r="L33" s="8" t="n"/>
    </row>
    <row r="34">
      <c r="A34" s="9" t="n"/>
      <c r="B34" s="9" t="n"/>
      <c r="C34" s="9" t="n"/>
      <c r="D34" s="8" t="n"/>
      <c r="E34" s="9" t="n"/>
      <c r="F34" s="9" t="n"/>
      <c r="G34" s="9" t="n"/>
      <c r="H34" s="9" t="n"/>
      <c r="I34" s="9">
        <f>IF(COUNTIF(E34:H34,"Y")+COUNTIF(E34:H34,"N")=0,"",COUNTIF(E34:H34,"Y"))</f>
        <v/>
      </c>
      <c r="J34" s="9">
        <f>IF(I34="","",IF(I34=4,"Yes","No"))</f>
        <v/>
      </c>
      <c r="K34" s="9" t="n"/>
      <c r="L34" s="8" t="n"/>
    </row>
    <row r="35">
      <c r="A35" s="9" t="n"/>
      <c r="B35" s="9" t="n"/>
      <c r="C35" s="9" t="n"/>
      <c r="D35" s="8" t="n"/>
      <c r="E35" s="9" t="n"/>
      <c r="F35" s="9" t="n"/>
      <c r="G35" s="9" t="n"/>
      <c r="H35" s="9" t="n"/>
      <c r="I35" s="9">
        <f>IF(COUNTIF(E35:H35,"Y")+COUNTIF(E35:H35,"N")=0,"",COUNTIF(E35:H35,"Y"))</f>
        <v/>
      </c>
      <c r="J35" s="9">
        <f>IF(I35="","",IF(I35=4,"Yes","No"))</f>
        <v/>
      </c>
      <c r="K35" s="9" t="n"/>
      <c r="L35" s="8" t="n"/>
    </row>
    <row r="36">
      <c r="A36" s="9" t="n"/>
      <c r="B36" s="9" t="n"/>
      <c r="C36" s="9" t="n"/>
      <c r="D36" s="8" t="n"/>
      <c r="E36" s="9" t="n"/>
      <c r="F36" s="9" t="n"/>
      <c r="G36" s="9" t="n"/>
      <c r="H36" s="9" t="n"/>
      <c r="I36" s="9">
        <f>IF(COUNTIF(E36:H36,"Y")+COUNTIF(E36:H36,"N")=0,"",COUNTIF(E36:H36,"Y"))</f>
        <v/>
      </c>
      <c r="J36" s="9">
        <f>IF(I36="","",IF(I36=4,"Yes","No"))</f>
        <v/>
      </c>
      <c r="K36" s="9" t="n"/>
      <c r="L36" s="8" t="n"/>
    </row>
    <row r="37">
      <c r="A37" s="9" t="n"/>
      <c r="B37" s="9" t="n"/>
      <c r="C37" s="9" t="n"/>
      <c r="D37" s="8" t="n"/>
      <c r="E37" s="9" t="n"/>
      <c r="F37" s="9" t="n"/>
      <c r="G37" s="9" t="n"/>
      <c r="H37" s="9" t="n"/>
      <c r="I37" s="9">
        <f>IF(COUNTIF(E37:H37,"Y")+COUNTIF(E37:H37,"N")=0,"",COUNTIF(E37:H37,"Y"))</f>
        <v/>
      </c>
      <c r="J37" s="9">
        <f>IF(I37="","",IF(I37=4,"Yes","No"))</f>
        <v/>
      </c>
      <c r="K37" s="9" t="n"/>
      <c r="L37" s="8" t="n"/>
    </row>
    <row r="38">
      <c r="A38" s="9" t="n"/>
      <c r="B38" s="9" t="n"/>
      <c r="C38" s="9" t="n"/>
      <c r="D38" s="8" t="n"/>
      <c r="E38" s="9" t="n"/>
      <c r="F38" s="9" t="n"/>
      <c r="G38" s="9" t="n"/>
      <c r="H38" s="9" t="n"/>
      <c r="I38" s="9">
        <f>IF(COUNTIF(E38:H38,"Y")+COUNTIF(E38:H38,"N")=0,"",COUNTIF(E38:H38,"Y"))</f>
        <v/>
      </c>
      <c r="J38" s="9">
        <f>IF(I38="","",IF(I38=4,"Yes","No"))</f>
        <v/>
      </c>
      <c r="K38" s="9" t="n"/>
      <c r="L38" s="8" t="n"/>
    </row>
    <row r="39">
      <c r="A39" s="9" t="n"/>
      <c r="B39" s="9" t="n"/>
      <c r="C39" s="9" t="n"/>
      <c r="D39" s="8" t="n"/>
      <c r="E39" s="9" t="n"/>
      <c r="F39" s="9" t="n"/>
      <c r="G39" s="9" t="n"/>
      <c r="H39" s="9" t="n"/>
      <c r="I39" s="9">
        <f>IF(COUNTIF(E39:H39,"Y")+COUNTIF(E39:H39,"N")=0,"",COUNTIF(E39:H39,"Y"))</f>
        <v/>
      </c>
      <c r="J39" s="9">
        <f>IF(I39="","",IF(I39=4,"Yes","No"))</f>
        <v/>
      </c>
      <c r="K39" s="9" t="n"/>
      <c r="L39" s="8" t="n"/>
    </row>
    <row r="40">
      <c r="A40" s="9" t="n"/>
      <c r="B40" s="9" t="n"/>
      <c r="C40" s="9" t="n"/>
      <c r="D40" s="8" t="n"/>
      <c r="E40" s="9" t="n"/>
      <c r="F40" s="9" t="n"/>
      <c r="G40" s="9" t="n"/>
      <c r="H40" s="9" t="n"/>
      <c r="I40" s="9">
        <f>IF(COUNTIF(E40:H40,"Y")+COUNTIF(E40:H40,"N")=0,"",COUNTIF(E40:H40,"Y"))</f>
        <v/>
      </c>
      <c r="J40" s="9">
        <f>IF(I40="","",IF(I40=4,"Yes","No"))</f>
        <v/>
      </c>
      <c r="K40" s="9" t="n"/>
      <c r="L40" s="8" t="n"/>
    </row>
    <row r="41">
      <c r="A41" s="9" t="n"/>
      <c r="B41" s="9" t="n"/>
      <c r="C41" s="9" t="n"/>
      <c r="D41" s="8" t="n"/>
      <c r="E41" s="9" t="n"/>
      <c r="F41" s="9" t="n"/>
      <c r="G41" s="9" t="n"/>
      <c r="H41" s="9" t="n"/>
      <c r="I41" s="9">
        <f>IF(COUNTIF(E41:H41,"Y")+COUNTIF(E41:H41,"N")=0,"",COUNTIF(E41:H41,"Y"))</f>
        <v/>
      </c>
      <c r="J41" s="9">
        <f>IF(I41="","",IF(I41=4,"Yes","No"))</f>
        <v/>
      </c>
      <c r="K41" s="9" t="n"/>
      <c r="L41" s="8" t="n"/>
    </row>
    <row r="42">
      <c r="A42" s="9" t="n"/>
      <c r="B42" s="9" t="n"/>
      <c r="C42" s="9" t="n"/>
      <c r="D42" s="8" t="n"/>
      <c r="E42" s="9" t="n"/>
      <c r="F42" s="9" t="n"/>
      <c r="G42" s="9" t="n"/>
      <c r="H42" s="9" t="n"/>
      <c r="I42" s="9">
        <f>IF(COUNTIF(E42:H42,"Y")+COUNTIF(E42:H42,"N")=0,"",COUNTIF(E42:H42,"Y"))</f>
        <v/>
      </c>
      <c r="J42" s="9">
        <f>IF(I42="","",IF(I42=4,"Yes","No"))</f>
        <v/>
      </c>
      <c r="K42" s="9" t="n"/>
      <c r="L42" s="8" t="n"/>
    </row>
    <row r="43">
      <c r="A43" s="9" t="n"/>
      <c r="B43" s="9" t="n"/>
      <c r="C43" s="9" t="n"/>
      <c r="D43" s="8" t="n"/>
      <c r="E43" s="9" t="n"/>
      <c r="F43" s="9" t="n"/>
      <c r="G43" s="9" t="n"/>
      <c r="H43" s="9" t="n"/>
      <c r="I43" s="9">
        <f>IF(COUNTIF(E43:H43,"Y")+COUNTIF(E43:H43,"N")=0,"",COUNTIF(E43:H43,"Y"))</f>
        <v/>
      </c>
      <c r="J43" s="9">
        <f>IF(I43="","",IF(I43=4,"Yes","No"))</f>
        <v/>
      </c>
      <c r="K43" s="9" t="n"/>
      <c r="L43" s="8" t="n"/>
    </row>
    <row r="44">
      <c r="A44" s="9" t="n"/>
      <c r="B44" s="9" t="n"/>
      <c r="C44" s="9" t="n"/>
      <c r="D44" s="8" t="n"/>
      <c r="E44" s="9" t="n"/>
      <c r="F44" s="9" t="n"/>
      <c r="G44" s="9" t="n"/>
      <c r="H44" s="9" t="n"/>
      <c r="I44" s="9">
        <f>IF(COUNTIF(E44:H44,"Y")+COUNTIF(E44:H44,"N")=0,"",COUNTIF(E44:H44,"Y"))</f>
        <v/>
      </c>
      <c r="J44" s="9">
        <f>IF(I44="","",IF(I44=4,"Yes","No"))</f>
        <v/>
      </c>
      <c r="K44" s="9" t="n"/>
      <c r="L44" s="8" t="n"/>
    </row>
    <row r="45">
      <c r="A45" s="9" t="n"/>
      <c r="B45" s="9" t="n"/>
      <c r="C45" s="9" t="n"/>
      <c r="D45" s="8" t="n"/>
      <c r="E45" s="9" t="n"/>
      <c r="F45" s="9" t="n"/>
      <c r="G45" s="9" t="n"/>
      <c r="H45" s="9" t="n"/>
      <c r="I45" s="9">
        <f>IF(COUNTIF(E45:H45,"Y")+COUNTIF(E45:H45,"N")=0,"",COUNTIF(E45:H45,"Y"))</f>
        <v/>
      </c>
      <c r="J45" s="9">
        <f>IF(I45="","",IF(I45=4,"Yes","No"))</f>
        <v/>
      </c>
      <c r="K45" s="9" t="n"/>
      <c r="L45" s="8" t="n"/>
    </row>
    <row r="46">
      <c r="A46" s="9" t="n"/>
      <c r="B46" s="9" t="n"/>
      <c r="C46" s="9" t="n"/>
      <c r="D46" s="8" t="n"/>
      <c r="E46" s="9" t="n"/>
      <c r="F46" s="9" t="n"/>
      <c r="G46" s="9" t="n"/>
      <c r="H46" s="9" t="n"/>
      <c r="I46" s="9">
        <f>IF(COUNTIF(E46:H46,"Y")+COUNTIF(E46:H46,"N")=0,"",COUNTIF(E46:H46,"Y"))</f>
        <v/>
      </c>
      <c r="J46" s="9">
        <f>IF(I46="","",IF(I46=4,"Yes","No"))</f>
        <v/>
      </c>
      <c r="K46" s="9" t="n"/>
      <c r="L46" s="8" t="n"/>
    </row>
    <row r="47">
      <c r="A47" s="9" t="n"/>
      <c r="B47" s="9" t="n"/>
      <c r="C47" s="9" t="n"/>
      <c r="D47" s="8" t="n"/>
      <c r="E47" s="9" t="n"/>
      <c r="F47" s="9" t="n"/>
      <c r="G47" s="9" t="n"/>
      <c r="H47" s="9" t="n"/>
      <c r="I47" s="9">
        <f>IF(COUNTIF(E47:H47,"Y")+COUNTIF(E47:H47,"N")=0,"",COUNTIF(E47:H47,"Y"))</f>
        <v/>
      </c>
      <c r="J47" s="9">
        <f>IF(I47="","",IF(I47=4,"Yes","No"))</f>
        <v/>
      </c>
      <c r="K47" s="9" t="n"/>
      <c r="L47" s="8" t="n"/>
    </row>
    <row r="48">
      <c r="A48" s="9" t="n"/>
      <c r="B48" s="9" t="n"/>
      <c r="C48" s="9" t="n"/>
      <c r="D48" s="8" t="n"/>
      <c r="E48" s="9" t="n"/>
      <c r="F48" s="9" t="n"/>
      <c r="G48" s="9" t="n"/>
      <c r="H48" s="9" t="n"/>
      <c r="I48" s="9">
        <f>IF(COUNTIF(E48:H48,"Y")+COUNTIF(E48:H48,"N")=0,"",COUNTIF(E48:H48,"Y"))</f>
        <v/>
      </c>
      <c r="J48" s="9">
        <f>IF(I48="","",IF(I48=4,"Yes","No"))</f>
        <v/>
      </c>
      <c r="K48" s="9" t="n"/>
      <c r="L48" s="8" t="n"/>
    </row>
    <row r="49">
      <c r="A49" s="9" t="n"/>
      <c r="B49" s="9" t="n"/>
      <c r="C49" s="9" t="n"/>
      <c r="D49" s="8" t="n"/>
      <c r="E49" s="9" t="n"/>
      <c r="F49" s="9" t="n"/>
      <c r="G49" s="9" t="n"/>
      <c r="H49" s="9" t="n"/>
      <c r="I49" s="9">
        <f>IF(COUNTIF(E49:H49,"Y")+COUNTIF(E49:H49,"N")=0,"",COUNTIF(E49:H49,"Y"))</f>
        <v/>
      </c>
      <c r="J49" s="9">
        <f>IF(I49="","",IF(I49=4,"Yes","No"))</f>
        <v/>
      </c>
      <c r="K49" s="9" t="n"/>
      <c r="L49" s="8" t="n"/>
    </row>
    <row r="50">
      <c r="A50" s="9" t="n"/>
      <c r="B50" s="9" t="n"/>
      <c r="C50" s="9" t="n"/>
      <c r="D50" s="8" t="n"/>
      <c r="E50" s="9" t="n"/>
      <c r="F50" s="9" t="n"/>
      <c r="G50" s="9" t="n"/>
      <c r="H50" s="9" t="n"/>
      <c r="I50" s="9">
        <f>IF(COUNTIF(E50:H50,"Y")+COUNTIF(E50:H50,"N")=0,"",COUNTIF(E50:H50,"Y"))</f>
        <v/>
      </c>
      <c r="J50" s="9">
        <f>IF(I50="","",IF(I50=4,"Yes","No"))</f>
        <v/>
      </c>
      <c r="K50" s="9" t="n"/>
      <c r="L50" s="8" t="n"/>
    </row>
    <row r="51">
      <c r="A51" s="9" t="n"/>
      <c r="B51" s="9" t="n"/>
      <c r="C51" s="9" t="n"/>
      <c r="D51" s="8" t="n"/>
      <c r="E51" s="9" t="n"/>
      <c r="F51" s="9" t="n"/>
      <c r="G51" s="9" t="n"/>
      <c r="H51" s="9" t="n"/>
      <c r="I51" s="9">
        <f>IF(COUNTIF(E51:H51,"Y")+COUNTIF(E51:H51,"N")=0,"",COUNTIF(E51:H51,"Y"))</f>
        <v/>
      </c>
      <c r="J51" s="9">
        <f>IF(I51="","",IF(I51=4,"Yes","No"))</f>
        <v/>
      </c>
      <c r="K51" s="9" t="n"/>
      <c r="L51" s="8" t="n"/>
    </row>
    <row r="52">
      <c r="A52" s="9" t="n"/>
      <c r="B52" s="9" t="n"/>
      <c r="C52" s="9" t="n"/>
      <c r="D52" s="8" t="n"/>
      <c r="E52" s="9" t="n"/>
      <c r="F52" s="9" t="n"/>
      <c r="G52" s="9" t="n"/>
      <c r="H52" s="9" t="n"/>
      <c r="I52" s="9">
        <f>IF(COUNTIF(E52:H52,"Y")+COUNTIF(E52:H52,"N")=0,"",COUNTIF(E52:H52,"Y"))</f>
        <v/>
      </c>
      <c r="J52" s="9">
        <f>IF(I52="","",IF(I52=4,"Yes","No"))</f>
        <v/>
      </c>
      <c r="K52" s="9" t="n"/>
      <c r="L52" s="8" t="n"/>
    </row>
    <row r="53">
      <c r="A53" s="9" t="n"/>
      <c r="B53" s="9" t="n"/>
      <c r="C53" s="9" t="n"/>
      <c r="D53" s="8" t="n"/>
      <c r="E53" s="9" t="n"/>
      <c r="F53" s="9" t="n"/>
      <c r="G53" s="9" t="n"/>
      <c r="H53" s="9" t="n"/>
      <c r="I53" s="9">
        <f>IF(COUNTIF(E53:H53,"Y")+COUNTIF(E53:H53,"N")=0,"",COUNTIF(E53:H53,"Y"))</f>
        <v/>
      </c>
      <c r="J53" s="9">
        <f>IF(I53="","",IF(I53=4,"Yes","No"))</f>
        <v/>
      </c>
      <c r="K53" s="9" t="n"/>
      <c r="L53" s="8" t="n"/>
    </row>
    <row r="54">
      <c r="A54" s="9" t="n"/>
      <c r="B54" s="9" t="n"/>
      <c r="C54" s="9" t="n"/>
      <c r="D54" s="8" t="n"/>
      <c r="E54" s="9" t="n"/>
      <c r="F54" s="9" t="n"/>
      <c r="G54" s="9" t="n"/>
      <c r="H54" s="9" t="n"/>
      <c r="I54" s="9">
        <f>IF(COUNTIF(E54:H54,"Y")+COUNTIF(E54:H54,"N")=0,"",COUNTIF(E54:H54,"Y"))</f>
        <v/>
      </c>
      <c r="J54" s="9">
        <f>IF(I54="","",IF(I54=4,"Yes","No"))</f>
        <v/>
      </c>
      <c r="K54" s="9" t="n"/>
      <c r="L54" s="8" t="n"/>
    </row>
    <row r="55">
      <c r="A55" s="9" t="n"/>
      <c r="B55" s="9" t="n"/>
      <c r="C55" s="9" t="n"/>
      <c r="D55" s="8" t="n"/>
      <c r="E55" s="9" t="n"/>
      <c r="F55" s="9" t="n"/>
      <c r="G55" s="9" t="n"/>
      <c r="H55" s="9" t="n"/>
      <c r="I55" s="9">
        <f>IF(COUNTIF(E55:H55,"Y")+COUNTIF(E55:H55,"N")=0,"",COUNTIF(E55:H55,"Y"))</f>
        <v/>
      </c>
      <c r="J55" s="9">
        <f>IF(I55="","",IF(I55=4,"Yes","No"))</f>
        <v/>
      </c>
      <c r="K55" s="9" t="n"/>
      <c r="L55" s="8" t="n"/>
    </row>
    <row r="56">
      <c r="A56" s="9" t="n"/>
      <c r="B56" s="9" t="n"/>
      <c r="C56" s="9" t="n"/>
      <c r="D56" s="8" t="n"/>
      <c r="E56" s="9" t="n"/>
      <c r="F56" s="9" t="n"/>
      <c r="G56" s="9" t="n"/>
      <c r="H56" s="9" t="n"/>
      <c r="I56" s="9">
        <f>IF(COUNTIF(E56:H56,"Y")+COUNTIF(E56:H56,"N")=0,"",COUNTIF(E56:H56,"Y"))</f>
        <v/>
      </c>
      <c r="J56" s="9">
        <f>IF(I56="","",IF(I56=4,"Yes","No"))</f>
        <v/>
      </c>
      <c r="K56" s="9" t="n"/>
      <c r="L56" s="8" t="n"/>
    </row>
    <row r="57">
      <c r="A57" s="9" t="n"/>
      <c r="B57" s="9" t="n"/>
      <c r="C57" s="9" t="n"/>
      <c r="D57" s="8" t="n"/>
      <c r="E57" s="9" t="n"/>
      <c r="F57" s="9" t="n"/>
      <c r="G57" s="9" t="n"/>
      <c r="H57" s="9" t="n"/>
      <c r="I57" s="9">
        <f>IF(COUNTIF(E57:H57,"Y")+COUNTIF(E57:H57,"N")=0,"",COUNTIF(E57:H57,"Y"))</f>
        <v/>
      </c>
      <c r="J57" s="9">
        <f>IF(I57="","",IF(I57=4,"Yes","No"))</f>
        <v/>
      </c>
      <c r="K57" s="9" t="n"/>
      <c r="L57" s="8" t="n"/>
    </row>
    <row r="58">
      <c r="A58" s="9" t="n"/>
      <c r="B58" s="9" t="n"/>
      <c r="C58" s="9" t="n"/>
      <c r="D58" s="8" t="n"/>
      <c r="E58" s="9" t="n"/>
      <c r="F58" s="9" t="n"/>
      <c r="G58" s="9" t="n"/>
      <c r="H58" s="9" t="n"/>
      <c r="I58" s="9">
        <f>IF(COUNTIF(E58:H58,"Y")+COUNTIF(E58:H58,"N")=0,"",COUNTIF(E58:H58,"Y"))</f>
        <v/>
      </c>
      <c r="J58" s="9">
        <f>IF(I58="","",IF(I58=4,"Yes","No"))</f>
        <v/>
      </c>
      <c r="K58" s="9" t="n"/>
      <c r="L58" s="8" t="n"/>
    </row>
    <row r="59">
      <c r="A59" s="9" t="n"/>
      <c r="B59" s="9" t="n"/>
      <c r="C59" s="9" t="n"/>
      <c r="D59" s="8" t="n"/>
      <c r="E59" s="9" t="n"/>
      <c r="F59" s="9" t="n"/>
      <c r="G59" s="9" t="n"/>
      <c r="H59" s="9" t="n"/>
      <c r="I59" s="9">
        <f>IF(COUNTIF(E59:H59,"Y")+COUNTIF(E59:H59,"N")=0,"",COUNTIF(E59:H59,"Y"))</f>
        <v/>
      </c>
      <c r="J59" s="9">
        <f>IF(I59="","",IF(I59=4,"Yes","No"))</f>
        <v/>
      </c>
      <c r="K59" s="9" t="n"/>
      <c r="L59" s="8" t="n"/>
    </row>
    <row r="60">
      <c r="A60" s="9" t="n"/>
      <c r="B60" s="9" t="n"/>
      <c r="C60" s="9" t="n"/>
      <c r="D60" s="8" t="n"/>
      <c r="E60" s="9" t="n"/>
      <c r="F60" s="9" t="n"/>
      <c r="G60" s="9" t="n"/>
      <c r="H60" s="9" t="n"/>
      <c r="I60" s="9">
        <f>IF(COUNTIF(E60:H60,"Y")+COUNTIF(E60:H60,"N")=0,"",COUNTIF(E60:H60,"Y"))</f>
        <v/>
      </c>
      <c r="J60" s="9">
        <f>IF(I60="","",IF(I60=4,"Yes","No"))</f>
        <v/>
      </c>
      <c r="K60" s="9" t="n"/>
      <c r="L60" s="8" t="n"/>
    </row>
    <row r="61">
      <c r="A61" s="9" t="n"/>
      <c r="B61" s="9" t="n"/>
      <c r="C61" s="9" t="n"/>
      <c r="D61" s="8" t="n"/>
      <c r="E61" s="9" t="n"/>
      <c r="F61" s="9" t="n"/>
      <c r="G61" s="9" t="n"/>
      <c r="H61" s="9" t="n"/>
      <c r="I61" s="9">
        <f>IF(COUNTIF(E61:H61,"Y")+COUNTIF(E61:H61,"N")=0,"",COUNTIF(E61:H61,"Y"))</f>
        <v/>
      </c>
      <c r="J61" s="9">
        <f>IF(I61="","",IF(I61=4,"Yes","No"))</f>
        <v/>
      </c>
      <c r="K61" s="9" t="n"/>
      <c r="L61" s="8" t="n"/>
    </row>
    <row r="62">
      <c r="A62" s="9" t="n"/>
      <c r="B62" s="9" t="n"/>
      <c r="C62" s="9" t="n"/>
      <c r="D62" s="8" t="n"/>
      <c r="E62" s="9" t="n"/>
      <c r="F62" s="9" t="n"/>
      <c r="G62" s="9" t="n"/>
      <c r="H62" s="9" t="n"/>
      <c r="I62" s="9">
        <f>IF(COUNTIF(E62:H62,"Y")+COUNTIF(E62:H62,"N")=0,"",COUNTIF(E62:H62,"Y"))</f>
        <v/>
      </c>
      <c r="J62" s="9">
        <f>IF(I62="","",IF(I62=4,"Yes","No"))</f>
        <v/>
      </c>
      <c r="K62" s="9" t="n"/>
      <c r="L62" s="8" t="n"/>
    </row>
    <row r="63">
      <c r="A63" s="9" t="n"/>
      <c r="B63" s="9" t="n"/>
      <c r="C63" s="9" t="n"/>
      <c r="D63" s="8" t="n"/>
      <c r="E63" s="9" t="n"/>
      <c r="F63" s="9" t="n"/>
      <c r="G63" s="9" t="n"/>
      <c r="H63" s="9" t="n"/>
      <c r="I63" s="9">
        <f>IF(COUNTIF(E63:H63,"Y")+COUNTIF(E63:H63,"N")=0,"",COUNTIF(E63:H63,"Y"))</f>
        <v/>
      </c>
      <c r="J63" s="9">
        <f>IF(I63="","",IF(I63=4,"Yes","No"))</f>
        <v/>
      </c>
      <c r="K63" s="9" t="n"/>
      <c r="L63" s="8" t="n"/>
    </row>
    <row r="64">
      <c r="A64" s="9" t="n"/>
      <c r="B64" s="9" t="n"/>
      <c r="C64" s="9" t="n"/>
      <c r="D64" s="8" t="n"/>
      <c r="E64" s="9" t="n"/>
      <c r="F64" s="9" t="n"/>
      <c r="G64" s="9" t="n"/>
      <c r="H64" s="9" t="n"/>
      <c r="I64" s="9">
        <f>IF(COUNTIF(E64:H64,"Y")+COUNTIF(E64:H64,"N")=0,"",COUNTIF(E64:H64,"Y"))</f>
        <v/>
      </c>
      <c r="J64" s="9">
        <f>IF(I64="","",IF(I64=4,"Yes","No"))</f>
        <v/>
      </c>
      <c r="K64" s="9" t="n"/>
      <c r="L64" s="8" t="n"/>
    </row>
    <row r="65">
      <c r="A65" s="9" t="n"/>
      <c r="B65" s="9" t="n"/>
      <c r="C65" s="9" t="n"/>
      <c r="D65" s="8" t="n"/>
      <c r="E65" s="9" t="n"/>
      <c r="F65" s="9" t="n"/>
      <c r="G65" s="9" t="n"/>
      <c r="H65" s="9" t="n"/>
      <c r="I65" s="9">
        <f>IF(COUNTIF(E65:H65,"Y")+COUNTIF(E65:H65,"N")=0,"",COUNTIF(E65:H65,"Y"))</f>
        <v/>
      </c>
      <c r="J65" s="9">
        <f>IF(I65="","",IF(I65=4,"Yes","No"))</f>
        <v/>
      </c>
      <c r="K65" s="9" t="n"/>
      <c r="L65" s="8" t="n"/>
    </row>
    <row r="66">
      <c r="A66" s="9" t="n"/>
      <c r="B66" s="9" t="n"/>
      <c r="C66" s="9" t="n"/>
      <c r="D66" s="8" t="n"/>
      <c r="E66" s="9" t="n"/>
      <c r="F66" s="9" t="n"/>
      <c r="G66" s="9" t="n"/>
      <c r="H66" s="9" t="n"/>
      <c r="I66" s="9">
        <f>IF(COUNTIF(E66:H66,"Y")+COUNTIF(E66:H66,"N")=0,"",COUNTIF(E66:H66,"Y"))</f>
        <v/>
      </c>
      <c r="J66" s="9">
        <f>IF(I66="","",IF(I66=4,"Yes","No"))</f>
        <v/>
      </c>
      <c r="K66" s="9" t="n"/>
      <c r="L66" s="8" t="n"/>
    </row>
    <row r="67">
      <c r="A67" s="9" t="n"/>
      <c r="B67" s="9" t="n"/>
      <c r="C67" s="9" t="n"/>
      <c r="D67" s="8" t="n"/>
      <c r="E67" s="9" t="n"/>
      <c r="F67" s="9" t="n"/>
      <c r="G67" s="9" t="n"/>
      <c r="H67" s="9" t="n"/>
      <c r="I67" s="9">
        <f>IF(COUNTIF(E67:H67,"Y")+COUNTIF(E67:H67,"N")=0,"",COUNTIF(E67:H67,"Y"))</f>
        <v/>
      </c>
      <c r="J67" s="9">
        <f>IF(I67="","",IF(I67=4,"Yes","No"))</f>
        <v/>
      </c>
      <c r="K67" s="9" t="n"/>
      <c r="L67" s="8" t="n"/>
    </row>
    <row r="68">
      <c r="A68" s="9" t="n"/>
      <c r="B68" s="9" t="n"/>
      <c r="C68" s="9" t="n"/>
      <c r="D68" s="8" t="n"/>
      <c r="E68" s="9" t="n"/>
      <c r="F68" s="9" t="n"/>
      <c r="G68" s="9" t="n"/>
      <c r="H68" s="9" t="n"/>
      <c r="I68" s="9">
        <f>IF(COUNTIF(E68:H68,"Y")+COUNTIF(E68:H68,"N")=0,"",COUNTIF(E68:H68,"Y"))</f>
        <v/>
      </c>
      <c r="J68" s="9">
        <f>IF(I68="","",IF(I68=4,"Yes","No"))</f>
        <v/>
      </c>
      <c r="K68" s="9" t="n"/>
      <c r="L68" s="8" t="n"/>
    </row>
    <row r="69">
      <c r="A69" s="9" t="n"/>
      <c r="B69" s="9" t="n"/>
      <c r="C69" s="9" t="n"/>
      <c r="D69" s="8" t="n"/>
      <c r="E69" s="9" t="n"/>
      <c r="F69" s="9" t="n"/>
      <c r="G69" s="9" t="n"/>
      <c r="H69" s="9" t="n"/>
      <c r="I69" s="9">
        <f>IF(COUNTIF(E69:H69,"Y")+COUNTIF(E69:H69,"N")=0,"",COUNTIF(E69:H69,"Y"))</f>
        <v/>
      </c>
      <c r="J69" s="9">
        <f>IF(I69="","",IF(I69=4,"Yes","No"))</f>
        <v/>
      </c>
      <c r="K69" s="9" t="n"/>
      <c r="L69" s="8" t="n"/>
    </row>
    <row r="70">
      <c r="A70" s="9" t="n"/>
      <c r="B70" s="9" t="n"/>
      <c r="C70" s="9" t="n"/>
      <c r="D70" s="8" t="n"/>
      <c r="E70" s="9" t="n"/>
      <c r="F70" s="9" t="n"/>
      <c r="G70" s="9" t="n"/>
      <c r="H70" s="9" t="n"/>
      <c r="I70" s="9">
        <f>IF(COUNTIF(E70:H70,"Y")+COUNTIF(E70:H70,"N")=0,"",COUNTIF(E70:H70,"Y"))</f>
        <v/>
      </c>
      <c r="J70" s="9">
        <f>IF(I70="","",IF(I70=4,"Yes","No"))</f>
        <v/>
      </c>
      <c r="K70" s="9" t="n"/>
      <c r="L70" s="8" t="n"/>
    </row>
    <row r="71">
      <c r="A71" s="9" t="n"/>
      <c r="B71" s="9" t="n"/>
      <c r="C71" s="9" t="n"/>
      <c r="D71" s="8" t="n"/>
      <c r="E71" s="9" t="n"/>
      <c r="F71" s="9" t="n"/>
      <c r="G71" s="9" t="n"/>
      <c r="H71" s="9" t="n"/>
      <c r="I71" s="9">
        <f>IF(COUNTIF(E71:H71,"Y")+COUNTIF(E71:H71,"N")=0,"",COUNTIF(E71:H71,"Y"))</f>
        <v/>
      </c>
      <c r="J71" s="9">
        <f>IF(I71="","",IF(I71=4,"Yes","No"))</f>
        <v/>
      </c>
      <c r="K71" s="9" t="n"/>
      <c r="L71" s="8" t="n"/>
    </row>
    <row r="72">
      <c r="A72" s="9" t="n"/>
      <c r="B72" s="9" t="n"/>
      <c r="C72" s="9" t="n"/>
      <c r="D72" s="8" t="n"/>
      <c r="E72" s="9" t="n"/>
      <c r="F72" s="9" t="n"/>
      <c r="G72" s="9" t="n"/>
      <c r="H72" s="9" t="n"/>
      <c r="I72" s="9">
        <f>IF(COUNTIF(E72:H72,"Y")+COUNTIF(E72:H72,"N")=0,"",COUNTIF(E72:H72,"Y"))</f>
        <v/>
      </c>
      <c r="J72" s="9">
        <f>IF(I72="","",IF(I72=4,"Yes","No"))</f>
        <v/>
      </c>
      <c r="K72" s="9" t="n"/>
      <c r="L72" s="8" t="n"/>
    </row>
    <row r="73">
      <c r="A73" s="9" t="n"/>
      <c r="B73" s="9" t="n"/>
      <c r="C73" s="9" t="n"/>
      <c r="D73" s="8" t="n"/>
      <c r="E73" s="9" t="n"/>
      <c r="F73" s="9" t="n"/>
      <c r="G73" s="9" t="n"/>
      <c r="H73" s="9" t="n"/>
      <c r="I73" s="9">
        <f>IF(COUNTIF(E73:H73,"Y")+COUNTIF(E73:H73,"N")=0,"",COUNTIF(E73:H73,"Y"))</f>
        <v/>
      </c>
      <c r="J73" s="9">
        <f>IF(I73="","",IF(I73=4,"Yes","No"))</f>
        <v/>
      </c>
      <c r="K73" s="9" t="n"/>
      <c r="L73" s="8" t="n"/>
    </row>
    <row r="74">
      <c r="A74" s="9" t="n"/>
      <c r="B74" s="9" t="n"/>
      <c r="C74" s="9" t="n"/>
      <c r="D74" s="8" t="n"/>
      <c r="E74" s="9" t="n"/>
      <c r="F74" s="9" t="n"/>
      <c r="G74" s="9" t="n"/>
      <c r="H74" s="9" t="n"/>
      <c r="I74" s="9">
        <f>IF(COUNTIF(E74:H74,"Y")+COUNTIF(E74:H74,"N")=0,"",COUNTIF(E74:H74,"Y"))</f>
        <v/>
      </c>
      <c r="J74" s="9">
        <f>IF(I74="","",IF(I74=4,"Yes","No"))</f>
        <v/>
      </c>
      <c r="K74" s="9" t="n"/>
      <c r="L74" s="8" t="n"/>
    </row>
    <row r="75">
      <c r="A75" s="9" t="n"/>
      <c r="B75" s="9" t="n"/>
      <c r="C75" s="9" t="n"/>
      <c r="D75" s="8" t="n"/>
      <c r="E75" s="9" t="n"/>
      <c r="F75" s="9" t="n"/>
      <c r="G75" s="9" t="n"/>
      <c r="H75" s="9" t="n"/>
      <c r="I75" s="9">
        <f>IF(COUNTIF(E75:H75,"Y")+COUNTIF(E75:H75,"N")=0,"",COUNTIF(E75:H75,"Y"))</f>
        <v/>
      </c>
      <c r="J75" s="9">
        <f>IF(I75="","",IF(I75=4,"Yes","No"))</f>
        <v/>
      </c>
      <c r="K75" s="9" t="n"/>
      <c r="L75" s="8" t="n"/>
    </row>
    <row r="76">
      <c r="A76" s="9" t="n"/>
      <c r="B76" s="9" t="n"/>
      <c r="C76" s="9" t="n"/>
      <c r="D76" s="8" t="n"/>
      <c r="E76" s="9" t="n"/>
      <c r="F76" s="9" t="n"/>
      <c r="G76" s="9" t="n"/>
      <c r="H76" s="9" t="n"/>
      <c r="I76" s="9">
        <f>IF(COUNTIF(E76:H76,"Y")+COUNTIF(E76:H76,"N")=0,"",COUNTIF(E76:H76,"Y"))</f>
        <v/>
      </c>
      <c r="J76" s="9">
        <f>IF(I76="","",IF(I76=4,"Yes","No"))</f>
        <v/>
      </c>
      <c r="K76" s="9" t="n"/>
      <c r="L76" s="8" t="n"/>
    </row>
    <row r="77">
      <c r="A77" s="9" t="n"/>
      <c r="B77" s="9" t="n"/>
      <c r="C77" s="9" t="n"/>
      <c r="D77" s="8" t="n"/>
      <c r="E77" s="9" t="n"/>
      <c r="F77" s="9" t="n"/>
      <c r="G77" s="9" t="n"/>
      <c r="H77" s="9" t="n"/>
      <c r="I77" s="9">
        <f>IF(COUNTIF(E77:H77,"Y")+COUNTIF(E77:H77,"N")=0,"",COUNTIF(E77:H77,"Y"))</f>
        <v/>
      </c>
      <c r="J77" s="9">
        <f>IF(I77="","",IF(I77=4,"Yes","No"))</f>
        <v/>
      </c>
      <c r="K77" s="9" t="n"/>
      <c r="L77" s="8" t="n"/>
    </row>
    <row r="78">
      <c r="A78" s="9" t="n"/>
      <c r="B78" s="9" t="n"/>
      <c r="C78" s="9" t="n"/>
      <c r="D78" s="8" t="n"/>
      <c r="E78" s="9" t="n"/>
      <c r="F78" s="9" t="n"/>
      <c r="G78" s="9" t="n"/>
      <c r="H78" s="9" t="n"/>
      <c r="I78" s="9">
        <f>IF(COUNTIF(E78:H78,"Y")+COUNTIF(E78:H78,"N")=0,"",COUNTIF(E78:H78,"Y"))</f>
        <v/>
      </c>
      <c r="J78" s="9">
        <f>IF(I78="","",IF(I78=4,"Yes","No"))</f>
        <v/>
      </c>
      <c r="K78" s="9" t="n"/>
      <c r="L78" s="8" t="n"/>
    </row>
    <row r="79">
      <c r="A79" s="9" t="n"/>
      <c r="B79" s="9" t="n"/>
      <c r="C79" s="9" t="n"/>
      <c r="D79" s="8" t="n"/>
      <c r="E79" s="9" t="n"/>
      <c r="F79" s="9" t="n"/>
      <c r="G79" s="9" t="n"/>
      <c r="H79" s="9" t="n"/>
      <c r="I79" s="9">
        <f>IF(COUNTIF(E79:H79,"Y")+COUNTIF(E79:H79,"N")=0,"",COUNTIF(E79:H79,"Y"))</f>
        <v/>
      </c>
      <c r="J79" s="9">
        <f>IF(I79="","",IF(I79=4,"Yes","No"))</f>
        <v/>
      </c>
      <c r="K79" s="9" t="n"/>
      <c r="L79" s="8" t="n"/>
    </row>
    <row r="80">
      <c r="A80" s="9" t="n"/>
      <c r="B80" s="9" t="n"/>
      <c r="C80" s="9" t="n"/>
      <c r="D80" s="8" t="n"/>
      <c r="E80" s="9" t="n"/>
      <c r="F80" s="9" t="n"/>
      <c r="G80" s="9" t="n"/>
      <c r="H80" s="9" t="n"/>
      <c r="I80" s="9">
        <f>IF(COUNTIF(E80:H80,"Y")+COUNTIF(E80:H80,"N")=0,"",COUNTIF(E80:H80,"Y"))</f>
        <v/>
      </c>
      <c r="J80" s="9">
        <f>IF(I80="","",IF(I80=4,"Yes","No"))</f>
        <v/>
      </c>
      <c r="K80" s="9" t="n"/>
      <c r="L80" s="8" t="n"/>
    </row>
    <row r="81">
      <c r="A81" s="9" t="n"/>
      <c r="B81" s="9" t="n"/>
      <c r="C81" s="9" t="n"/>
      <c r="D81" s="8" t="n"/>
      <c r="E81" s="9" t="n"/>
      <c r="F81" s="9" t="n"/>
      <c r="G81" s="9" t="n"/>
      <c r="H81" s="9" t="n"/>
      <c r="I81" s="9">
        <f>IF(COUNTIF(E81:H81,"Y")+COUNTIF(E81:H81,"N")=0,"",COUNTIF(E81:H81,"Y"))</f>
        <v/>
      </c>
      <c r="J81" s="9">
        <f>IF(I81="","",IF(I81=4,"Yes","No"))</f>
        <v/>
      </c>
      <c r="K81" s="9" t="n"/>
      <c r="L81" s="8" t="n"/>
    </row>
    <row r="82">
      <c r="A82" s="9" t="n"/>
      <c r="B82" s="9" t="n"/>
      <c r="C82" s="9" t="n"/>
      <c r="D82" s="8" t="n"/>
      <c r="E82" s="9" t="n"/>
      <c r="F82" s="9" t="n"/>
      <c r="G82" s="9" t="n"/>
      <c r="H82" s="9" t="n"/>
      <c r="I82" s="9">
        <f>IF(COUNTIF(E82:H82,"Y")+COUNTIF(E82:H82,"N")=0,"",COUNTIF(E82:H82,"Y"))</f>
        <v/>
      </c>
      <c r="J82" s="9">
        <f>IF(I82="","",IF(I82=4,"Yes","No"))</f>
        <v/>
      </c>
      <c r="K82" s="9" t="n"/>
      <c r="L82" s="8" t="n"/>
    </row>
    <row r="83">
      <c r="A83" s="9" t="n"/>
      <c r="B83" s="9" t="n"/>
      <c r="C83" s="9" t="n"/>
      <c r="D83" s="8" t="n"/>
      <c r="E83" s="9" t="n"/>
      <c r="F83" s="9" t="n"/>
      <c r="G83" s="9" t="n"/>
      <c r="H83" s="9" t="n"/>
      <c r="I83" s="9">
        <f>IF(COUNTIF(E83:H83,"Y")+COUNTIF(E83:H83,"N")=0,"",COUNTIF(E83:H83,"Y"))</f>
        <v/>
      </c>
      <c r="J83" s="9">
        <f>IF(I83="","",IF(I83=4,"Yes","No"))</f>
        <v/>
      </c>
      <c r="K83" s="9" t="n"/>
      <c r="L83" s="8" t="n"/>
    </row>
    <row r="84">
      <c r="A84" s="9" t="n"/>
      <c r="B84" s="9" t="n"/>
      <c r="C84" s="9" t="n"/>
      <c r="D84" s="8" t="n"/>
      <c r="E84" s="9" t="n"/>
      <c r="F84" s="9" t="n"/>
      <c r="G84" s="9" t="n"/>
      <c r="H84" s="9" t="n"/>
      <c r="I84" s="9">
        <f>IF(COUNTIF(E84:H84,"Y")+COUNTIF(E84:H84,"N")=0,"",COUNTIF(E84:H84,"Y"))</f>
        <v/>
      </c>
      <c r="J84" s="9">
        <f>IF(I84="","",IF(I84=4,"Yes","No"))</f>
        <v/>
      </c>
      <c r="K84" s="9" t="n"/>
      <c r="L84" s="8" t="n"/>
    </row>
    <row r="85">
      <c r="A85" s="9" t="n"/>
      <c r="B85" s="9" t="n"/>
      <c r="C85" s="9" t="n"/>
      <c r="D85" s="8" t="n"/>
      <c r="E85" s="9" t="n"/>
      <c r="F85" s="9" t="n"/>
      <c r="G85" s="9" t="n"/>
      <c r="H85" s="9" t="n"/>
      <c r="I85" s="9">
        <f>IF(COUNTIF(E85:H85,"Y")+COUNTIF(E85:H85,"N")=0,"",COUNTIF(E85:H85,"Y"))</f>
        <v/>
      </c>
      <c r="J85" s="9">
        <f>IF(I85="","",IF(I85=4,"Yes","No"))</f>
        <v/>
      </c>
      <c r="K85" s="9" t="n"/>
      <c r="L85" s="8" t="n"/>
    </row>
    <row r="86">
      <c r="A86" s="9" t="n"/>
      <c r="B86" s="9" t="n"/>
      <c r="C86" s="9" t="n"/>
      <c r="D86" s="8" t="n"/>
      <c r="E86" s="9" t="n"/>
      <c r="F86" s="9" t="n"/>
      <c r="G86" s="9" t="n"/>
      <c r="H86" s="9" t="n"/>
      <c r="I86" s="9">
        <f>IF(COUNTIF(E86:H86,"Y")+COUNTIF(E86:H86,"N")=0,"",COUNTIF(E86:H86,"Y"))</f>
        <v/>
      </c>
      <c r="J86" s="9">
        <f>IF(I86="","",IF(I86=4,"Yes","No"))</f>
        <v/>
      </c>
      <c r="K86" s="9" t="n"/>
      <c r="L86" s="8" t="n"/>
    </row>
    <row r="87">
      <c r="A87" s="9" t="n"/>
      <c r="B87" s="9" t="n"/>
      <c r="C87" s="9" t="n"/>
      <c r="D87" s="8" t="n"/>
      <c r="E87" s="9" t="n"/>
      <c r="F87" s="9" t="n"/>
      <c r="G87" s="9" t="n"/>
      <c r="H87" s="9" t="n"/>
      <c r="I87" s="9">
        <f>IF(COUNTIF(E87:H87,"Y")+COUNTIF(E87:H87,"N")=0,"",COUNTIF(E87:H87,"Y"))</f>
        <v/>
      </c>
      <c r="J87" s="9">
        <f>IF(I87="","",IF(I87=4,"Yes","No"))</f>
        <v/>
      </c>
      <c r="K87" s="9" t="n"/>
      <c r="L87" s="8" t="n"/>
    </row>
    <row r="88">
      <c r="A88" s="9" t="n"/>
      <c r="B88" s="9" t="n"/>
      <c r="C88" s="9" t="n"/>
      <c r="D88" s="8" t="n"/>
      <c r="E88" s="9" t="n"/>
      <c r="F88" s="9" t="n"/>
      <c r="G88" s="9" t="n"/>
      <c r="H88" s="9" t="n"/>
      <c r="I88" s="9">
        <f>IF(COUNTIF(E88:H88,"Y")+COUNTIF(E88:H88,"N")=0,"",COUNTIF(E88:H88,"Y"))</f>
        <v/>
      </c>
      <c r="J88" s="9">
        <f>IF(I88="","",IF(I88=4,"Yes","No"))</f>
        <v/>
      </c>
      <c r="K88" s="9" t="n"/>
      <c r="L88" s="8" t="n"/>
    </row>
    <row r="89">
      <c r="A89" s="9" t="n"/>
      <c r="B89" s="9" t="n"/>
      <c r="C89" s="9" t="n"/>
      <c r="D89" s="8" t="n"/>
      <c r="E89" s="9" t="n"/>
      <c r="F89" s="9" t="n"/>
      <c r="G89" s="9" t="n"/>
      <c r="H89" s="9" t="n"/>
      <c r="I89" s="9">
        <f>IF(COUNTIF(E89:H89,"Y")+COUNTIF(E89:H89,"N")=0,"",COUNTIF(E89:H89,"Y"))</f>
        <v/>
      </c>
      <c r="J89" s="9">
        <f>IF(I89="","",IF(I89=4,"Yes","No"))</f>
        <v/>
      </c>
      <c r="K89" s="9" t="n"/>
      <c r="L89" s="8" t="n"/>
    </row>
    <row r="90">
      <c r="A90" s="9" t="n"/>
      <c r="B90" s="9" t="n"/>
      <c r="C90" s="9" t="n"/>
      <c r="D90" s="8" t="n"/>
      <c r="E90" s="9" t="n"/>
      <c r="F90" s="9" t="n"/>
      <c r="G90" s="9" t="n"/>
      <c r="H90" s="9" t="n"/>
      <c r="I90" s="9">
        <f>IF(COUNTIF(E90:H90,"Y")+COUNTIF(E90:H90,"N")=0,"",COUNTIF(E90:H90,"Y"))</f>
        <v/>
      </c>
      <c r="J90" s="9">
        <f>IF(I90="","",IF(I90=4,"Yes","No"))</f>
        <v/>
      </c>
      <c r="K90" s="9" t="n"/>
      <c r="L90" s="8" t="n"/>
    </row>
    <row r="91">
      <c r="A91" s="9" t="n"/>
      <c r="B91" s="9" t="n"/>
      <c r="C91" s="9" t="n"/>
      <c r="D91" s="8" t="n"/>
      <c r="E91" s="9" t="n"/>
      <c r="F91" s="9" t="n"/>
      <c r="G91" s="9" t="n"/>
      <c r="H91" s="9" t="n"/>
      <c r="I91" s="9">
        <f>IF(COUNTIF(E91:H91,"Y")+COUNTIF(E91:H91,"N")=0,"",COUNTIF(E91:H91,"Y"))</f>
        <v/>
      </c>
      <c r="J91" s="9">
        <f>IF(I91="","",IF(I91=4,"Yes","No"))</f>
        <v/>
      </c>
      <c r="K91" s="9" t="n"/>
      <c r="L91" s="8" t="n"/>
    </row>
    <row r="92">
      <c r="A92" s="9" t="n"/>
      <c r="B92" s="9" t="n"/>
      <c r="C92" s="9" t="n"/>
      <c r="D92" s="8" t="n"/>
      <c r="E92" s="9" t="n"/>
      <c r="F92" s="9" t="n"/>
      <c r="G92" s="9" t="n"/>
      <c r="H92" s="9" t="n"/>
      <c r="I92" s="9">
        <f>IF(COUNTIF(E92:H92,"Y")+COUNTIF(E92:H92,"N")=0,"",COUNTIF(E92:H92,"Y"))</f>
        <v/>
      </c>
      <c r="J92" s="9">
        <f>IF(I92="","",IF(I92=4,"Yes","No"))</f>
        <v/>
      </c>
      <c r="K92" s="9" t="n"/>
      <c r="L92" s="8" t="n"/>
    </row>
    <row r="93">
      <c r="A93" s="9" t="n"/>
      <c r="B93" s="9" t="n"/>
      <c r="C93" s="9" t="n"/>
      <c r="D93" s="8" t="n"/>
      <c r="E93" s="9" t="n"/>
      <c r="F93" s="9" t="n"/>
      <c r="G93" s="9" t="n"/>
      <c r="H93" s="9" t="n"/>
      <c r="I93" s="9">
        <f>IF(COUNTIF(E93:H93,"Y")+COUNTIF(E93:H93,"N")=0,"",COUNTIF(E93:H93,"Y"))</f>
        <v/>
      </c>
      <c r="J93" s="9">
        <f>IF(I93="","",IF(I93=4,"Yes","No"))</f>
        <v/>
      </c>
      <c r="K93" s="9" t="n"/>
      <c r="L93" s="8" t="n"/>
    </row>
    <row r="94">
      <c r="A94" s="9" t="n"/>
      <c r="B94" s="9" t="n"/>
      <c r="C94" s="9" t="n"/>
      <c r="D94" s="8" t="n"/>
      <c r="E94" s="9" t="n"/>
      <c r="F94" s="9" t="n"/>
      <c r="G94" s="9" t="n"/>
      <c r="H94" s="9" t="n"/>
      <c r="I94" s="9">
        <f>IF(COUNTIF(E94:H94,"Y")+COUNTIF(E94:H94,"N")=0,"",COUNTIF(E94:H94,"Y"))</f>
        <v/>
      </c>
      <c r="J94" s="9">
        <f>IF(I94="","",IF(I94=4,"Yes","No"))</f>
        <v/>
      </c>
      <c r="K94" s="9" t="n"/>
      <c r="L94" s="8" t="n"/>
    </row>
    <row r="95">
      <c r="A95" s="9" t="n"/>
      <c r="B95" s="9" t="n"/>
      <c r="C95" s="9" t="n"/>
      <c r="D95" s="8" t="n"/>
      <c r="E95" s="9" t="n"/>
      <c r="F95" s="9" t="n"/>
      <c r="G95" s="9" t="n"/>
      <c r="H95" s="9" t="n"/>
      <c r="I95" s="9">
        <f>IF(COUNTIF(E95:H95,"Y")+COUNTIF(E95:H95,"N")=0,"",COUNTIF(E95:H95,"Y"))</f>
        <v/>
      </c>
      <c r="J95" s="9">
        <f>IF(I95="","",IF(I95=4,"Yes","No"))</f>
        <v/>
      </c>
      <c r="K95" s="9" t="n"/>
      <c r="L95" s="8" t="n"/>
    </row>
    <row r="96">
      <c r="A96" s="9" t="n"/>
      <c r="B96" s="9" t="n"/>
      <c r="C96" s="9" t="n"/>
      <c r="D96" s="8" t="n"/>
      <c r="E96" s="9" t="n"/>
      <c r="F96" s="9" t="n"/>
      <c r="G96" s="9" t="n"/>
      <c r="H96" s="9" t="n"/>
      <c r="I96" s="9">
        <f>IF(COUNTIF(E96:H96,"Y")+COUNTIF(E96:H96,"N")=0,"",COUNTIF(E96:H96,"Y"))</f>
        <v/>
      </c>
      <c r="J96" s="9">
        <f>IF(I96="","",IF(I96=4,"Yes","No"))</f>
        <v/>
      </c>
      <c r="K96" s="9" t="n"/>
      <c r="L96" s="8" t="n"/>
    </row>
    <row r="97">
      <c r="A97" s="9" t="n"/>
      <c r="B97" s="9" t="n"/>
      <c r="C97" s="9" t="n"/>
      <c r="D97" s="8" t="n"/>
      <c r="E97" s="9" t="n"/>
      <c r="F97" s="9" t="n"/>
      <c r="G97" s="9" t="n"/>
      <c r="H97" s="9" t="n"/>
      <c r="I97" s="9">
        <f>IF(COUNTIF(E97:H97,"Y")+COUNTIF(E97:H97,"N")=0,"",COUNTIF(E97:H97,"Y"))</f>
        <v/>
      </c>
      <c r="J97" s="9">
        <f>IF(I97="","",IF(I97=4,"Yes","No"))</f>
        <v/>
      </c>
      <c r="K97" s="9" t="n"/>
      <c r="L97" s="8" t="n"/>
    </row>
    <row r="98">
      <c r="A98" s="9" t="n"/>
      <c r="B98" s="9" t="n"/>
      <c r="C98" s="9" t="n"/>
      <c r="D98" s="8" t="n"/>
      <c r="E98" s="9" t="n"/>
      <c r="F98" s="9" t="n"/>
      <c r="G98" s="9" t="n"/>
      <c r="H98" s="9" t="n"/>
      <c r="I98" s="9">
        <f>IF(COUNTIF(E98:H98,"Y")+COUNTIF(E98:H98,"N")=0,"",COUNTIF(E98:H98,"Y"))</f>
        <v/>
      </c>
      <c r="J98" s="9">
        <f>IF(I98="","",IF(I98=4,"Yes","No"))</f>
        <v/>
      </c>
      <c r="K98" s="9" t="n"/>
      <c r="L98" s="8" t="n"/>
    </row>
    <row r="99">
      <c r="A99" s="9" t="n"/>
      <c r="B99" s="9" t="n"/>
      <c r="C99" s="9" t="n"/>
      <c r="D99" s="8" t="n"/>
      <c r="E99" s="9" t="n"/>
      <c r="F99" s="9" t="n"/>
      <c r="G99" s="9" t="n"/>
      <c r="H99" s="9" t="n"/>
      <c r="I99" s="9">
        <f>IF(COUNTIF(E99:H99,"Y")+COUNTIF(E99:H99,"N")=0,"",COUNTIF(E99:H99,"Y"))</f>
        <v/>
      </c>
      <c r="J99" s="9">
        <f>IF(I99="","",IF(I99=4,"Yes","No"))</f>
        <v/>
      </c>
      <c r="K99" s="9" t="n"/>
      <c r="L99" s="8" t="n"/>
    </row>
    <row r="100">
      <c r="A100" s="9" t="n"/>
      <c r="B100" s="9" t="n"/>
      <c r="C100" s="9" t="n"/>
      <c r="D100" s="8" t="n"/>
      <c r="E100" s="9" t="n"/>
      <c r="F100" s="9" t="n"/>
      <c r="G100" s="9" t="n"/>
      <c r="H100" s="9" t="n"/>
      <c r="I100" s="9">
        <f>IF(COUNTIF(E100:H100,"Y")+COUNTIF(E100:H100,"N")=0,"",COUNTIF(E100:H100,"Y"))</f>
        <v/>
      </c>
      <c r="J100" s="9">
        <f>IF(I100="","",IF(I100=4,"Yes","No"))</f>
        <v/>
      </c>
      <c r="K100" s="9" t="n"/>
      <c r="L100" s="8" t="n"/>
    </row>
    <row r="101">
      <c r="A101" s="9" t="n"/>
      <c r="B101" s="9" t="n"/>
      <c r="C101" s="9" t="n"/>
      <c r="D101" s="8" t="n"/>
      <c r="E101" s="9" t="n"/>
      <c r="F101" s="9" t="n"/>
      <c r="G101" s="9" t="n"/>
      <c r="H101" s="9" t="n"/>
      <c r="I101" s="9">
        <f>IF(COUNTIF(E101:H101,"Y")+COUNTIF(E101:H101,"N")=0,"",COUNTIF(E101:H101,"Y"))</f>
        <v/>
      </c>
      <c r="J101" s="9">
        <f>IF(I101="","",IF(I101=4,"Yes","No"))</f>
        <v/>
      </c>
      <c r="K101" s="9" t="n"/>
      <c r="L101" s="8" t="n"/>
    </row>
    <row r="102">
      <c r="A102" s="9" t="n"/>
      <c r="B102" s="9" t="n"/>
      <c r="C102" s="9" t="n"/>
      <c r="D102" s="8" t="n"/>
      <c r="E102" s="9" t="n"/>
      <c r="F102" s="9" t="n"/>
      <c r="G102" s="9" t="n"/>
      <c r="H102" s="9" t="n"/>
      <c r="I102" s="9">
        <f>IF(COUNTIF(E102:H102,"Y")+COUNTIF(E102:H102,"N")=0,"",COUNTIF(E102:H102,"Y"))</f>
        <v/>
      </c>
      <c r="J102" s="9">
        <f>IF(I102="","",IF(I102=4,"Yes","No"))</f>
        <v/>
      </c>
      <c r="K102" s="9" t="n"/>
      <c r="L102" s="8" t="n"/>
    </row>
    <row r="103">
      <c r="A103" s="9" t="n"/>
      <c r="B103" s="9" t="n"/>
      <c r="C103" s="9" t="n"/>
      <c r="D103" s="8" t="n"/>
      <c r="E103" s="9" t="n"/>
      <c r="F103" s="9" t="n"/>
      <c r="G103" s="9" t="n"/>
      <c r="H103" s="9" t="n"/>
      <c r="I103" s="9">
        <f>IF(COUNTIF(E103:H103,"Y")+COUNTIF(E103:H103,"N")=0,"",COUNTIF(E103:H103,"Y"))</f>
        <v/>
      </c>
      <c r="J103" s="9">
        <f>IF(I103="","",IF(I103=4,"Yes","No"))</f>
        <v/>
      </c>
      <c r="K103" s="9" t="n"/>
      <c r="L103" s="8" t="n"/>
    </row>
    <row r="104">
      <c r="A104" s="9" t="n"/>
      <c r="B104" s="9" t="n"/>
      <c r="C104" s="9" t="n"/>
      <c r="D104" s="8" t="n"/>
      <c r="E104" s="9" t="n"/>
      <c r="F104" s="9" t="n"/>
      <c r="G104" s="9" t="n"/>
      <c r="H104" s="9" t="n"/>
      <c r="I104" s="9">
        <f>IF(COUNTIF(E104:H104,"Y")+COUNTIF(E104:H104,"N")=0,"",COUNTIF(E104:H104,"Y"))</f>
        <v/>
      </c>
      <c r="J104" s="9">
        <f>IF(I104="","",IF(I104=4,"Yes","No"))</f>
        <v/>
      </c>
      <c r="K104" s="9" t="n"/>
      <c r="L104" s="8" t="n"/>
    </row>
    <row r="105">
      <c r="A105" s="9" t="n"/>
      <c r="B105" s="9" t="n"/>
      <c r="C105" s="9" t="n"/>
      <c r="D105" s="8" t="n"/>
      <c r="E105" s="9" t="n"/>
      <c r="F105" s="9" t="n"/>
      <c r="G105" s="9" t="n"/>
      <c r="H105" s="9" t="n"/>
      <c r="I105" s="9">
        <f>IF(COUNTIF(E105:H105,"Y")+COUNTIF(E105:H105,"N")=0,"",COUNTIF(E105:H105,"Y"))</f>
        <v/>
      </c>
      <c r="J105" s="9">
        <f>IF(I105="","",IF(I105=4,"Yes","No"))</f>
        <v/>
      </c>
      <c r="K105" s="9" t="n"/>
      <c r="L105" s="8" t="n"/>
    </row>
    <row r="106">
      <c r="A106" s="9" t="n"/>
      <c r="B106" s="9" t="n"/>
      <c r="C106" s="9" t="n"/>
      <c r="D106" s="8" t="n"/>
      <c r="E106" s="9" t="n"/>
      <c r="F106" s="9" t="n"/>
      <c r="G106" s="9" t="n"/>
      <c r="H106" s="9" t="n"/>
      <c r="I106" s="9">
        <f>IF(COUNTIF(E106:H106,"Y")+COUNTIF(E106:H106,"N")=0,"",COUNTIF(E106:H106,"Y"))</f>
        <v/>
      </c>
      <c r="J106" s="9">
        <f>IF(I106="","",IF(I106=4,"Yes","No"))</f>
        <v/>
      </c>
      <c r="K106" s="9" t="n"/>
      <c r="L106" s="8" t="n"/>
    </row>
    <row r="107">
      <c r="A107" s="9" t="n"/>
      <c r="B107" s="9" t="n"/>
      <c r="C107" s="9" t="n"/>
      <c r="D107" s="8" t="n"/>
      <c r="E107" s="9" t="n"/>
      <c r="F107" s="9" t="n"/>
      <c r="G107" s="9" t="n"/>
      <c r="H107" s="9" t="n"/>
      <c r="I107" s="9">
        <f>IF(COUNTIF(E107:H107,"Y")+COUNTIF(E107:H107,"N")=0,"",COUNTIF(E107:H107,"Y"))</f>
        <v/>
      </c>
      <c r="J107" s="9">
        <f>IF(I107="","",IF(I107=4,"Yes","No"))</f>
        <v/>
      </c>
      <c r="K107" s="9" t="n"/>
      <c r="L107" s="8" t="n"/>
    </row>
    <row r="108">
      <c r="A108" s="9" t="n"/>
      <c r="B108" s="9" t="n"/>
      <c r="C108" s="9" t="n"/>
      <c r="D108" s="8" t="n"/>
      <c r="E108" s="9" t="n"/>
      <c r="F108" s="9" t="n"/>
      <c r="G108" s="9" t="n"/>
      <c r="H108" s="9" t="n"/>
      <c r="I108" s="9">
        <f>IF(COUNTIF(E108:H108,"Y")+COUNTIF(E108:H108,"N")=0,"",COUNTIF(E108:H108,"Y"))</f>
        <v/>
      </c>
      <c r="J108" s="9">
        <f>IF(I108="","",IF(I108=4,"Yes","No"))</f>
        <v/>
      </c>
      <c r="K108" s="9" t="n"/>
      <c r="L108" s="8" t="n"/>
    </row>
    <row r="109">
      <c r="A109" s="9" t="n"/>
      <c r="B109" s="9" t="n"/>
      <c r="C109" s="9" t="n"/>
      <c r="D109" s="8" t="n"/>
      <c r="E109" s="9" t="n"/>
      <c r="F109" s="9" t="n"/>
      <c r="G109" s="9" t="n"/>
      <c r="H109" s="9" t="n"/>
      <c r="I109" s="9">
        <f>IF(COUNTIF(E109:H109,"Y")+COUNTIF(E109:H109,"N")=0,"",COUNTIF(E109:H109,"Y"))</f>
        <v/>
      </c>
      <c r="J109" s="9">
        <f>IF(I109="","",IF(I109=4,"Yes","No"))</f>
        <v/>
      </c>
      <c r="K109" s="9" t="n"/>
      <c r="L109" s="8" t="n"/>
    </row>
    <row r="110">
      <c r="A110" s="9" t="n"/>
      <c r="B110" s="9" t="n"/>
      <c r="C110" s="9" t="n"/>
      <c r="D110" s="8" t="n"/>
      <c r="E110" s="9" t="n"/>
      <c r="F110" s="9" t="n"/>
      <c r="G110" s="9" t="n"/>
      <c r="H110" s="9" t="n"/>
      <c r="I110" s="9">
        <f>IF(COUNTIF(E110:H110,"Y")+COUNTIF(E110:H110,"N")=0,"",COUNTIF(E110:H110,"Y"))</f>
        <v/>
      </c>
      <c r="J110" s="9">
        <f>IF(I110="","",IF(I110=4,"Yes","No"))</f>
        <v/>
      </c>
      <c r="K110" s="9" t="n"/>
      <c r="L110" s="8" t="n"/>
    </row>
    <row r="111">
      <c r="A111" s="9" t="n"/>
      <c r="B111" s="9" t="n"/>
      <c r="C111" s="9" t="n"/>
      <c r="D111" s="8" t="n"/>
      <c r="E111" s="9" t="n"/>
      <c r="F111" s="9" t="n"/>
      <c r="G111" s="9" t="n"/>
      <c r="H111" s="9" t="n"/>
      <c r="I111" s="9">
        <f>IF(COUNTIF(E111:H111,"Y")+COUNTIF(E111:H111,"N")=0,"",COUNTIF(E111:H111,"Y"))</f>
        <v/>
      </c>
      <c r="J111" s="9">
        <f>IF(I111="","",IF(I111=4,"Yes","No"))</f>
        <v/>
      </c>
      <c r="K111" s="9" t="n"/>
      <c r="L111" s="8" t="n"/>
    </row>
    <row r="112">
      <c r="A112" s="9" t="n"/>
      <c r="B112" s="9" t="n"/>
      <c r="C112" s="9" t="n"/>
      <c r="D112" s="8" t="n"/>
      <c r="E112" s="9" t="n"/>
      <c r="F112" s="9" t="n"/>
      <c r="G112" s="9" t="n"/>
      <c r="H112" s="9" t="n"/>
      <c r="I112" s="9">
        <f>IF(COUNTIF(E112:H112,"Y")+COUNTIF(E112:H112,"N")=0,"",COUNTIF(E112:H112,"Y"))</f>
        <v/>
      </c>
      <c r="J112" s="9">
        <f>IF(I112="","",IF(I112=4,"Yes","No"))</f>
        <v/>
      </c>
      <c r="K112" s="9" t="n"/>
      <c r="L112" s="8" t="n"/>
    </row>
    <row r="113">
      <c r="A113" s="9" t="n"/>
      <c r="B113" s="9" t="n"/>
      <c r="C113" s="9" t="n"/>
      <c r="D113" s="8" t="n"/>
      <c r="E113" s="9" t="n"/>
      <c r="F113" s="9" t="n"/>
      <c r="G113" s="9" t="n"/>
      <c r="H113" s="9" t="n"/>
      <c r="I113" s="9">
        <f>IF(COUNTIF(E113:H113,"Y")+COUNTIF(E113:H113,"N")=0,"",COUNTIF(E113:H113,"Y"))</f>
        <v/>
      </c>
      <c r="J113" s="9">
        <f>IF(I113="","",IF(I113=4,"Yes","No"))</f>
        <v/>
      </c>
      <c r="K113" s="9" t="n"/>
      <c r="L113" s="8" t="n"/>
    </row>
    <row r="114">
      <c r="A114" s="9" t="n"/>
      <c r="B114" s="9" t="n"/>
      <c r="C114" s="9" t="n"/>
      <c r="D114" s="8" t="n"/>
      <c r="E114" s="9" t="n"/>
      <c r="F114" s="9" t="n"/>
      <c r="G114" s="9" t="n"/>
      <c r="H114" s="9" t="n"/>
      <c r="I114" s="9">
        <f>IF(COUNTIF(E114:H114,"Y")+COUNTIF(E114:H114,"N")=0,"",COUNTIF(E114:H114,"Y"))</f>
        <v/>
      </c>
      <c r="J114" s="9">
        <f>IF(I114="","",IF(I114=4,"Yes","No"))</f>
        <v/>
      </c>
      <c r="K114" s="9" t="n"/>
      <c r="L114" s="8" t="n"/>
    </row>
    <row r="115">
      <c r="A115" s="9" t="n"/>
      <c r="B115" s="9" t="n"/>
      <c r="C115" s="9" t="n"/>
      <c r="D115" s="8" t="n"/>
      <c r="E115" s="9" t="n"/>
      <c r="F115" s="9" t="n"/>
      <c r="G115" s="9" t="n"/>
      <c r="H115" s="9" t="n"/>
      <c r="I115" s="9">
        <f>IF(COUNTIF(E115:H115,"Y")+COUNTIF(E115:H115,"N")=0,"",COUNTIF(E115:H115,"Y"))</f>
        <v/>
      </c>
      <c r="J115" s="9">
        <f>IF(I115="","",IF(I115=4,"Yes","No"))</f>
        <v/>
      </c>
      <c r="K115" s="9" t="n"/>
      <c r="L115" s="8" t="n"/>
    </row>
    <row r="116">
      <c r="A116" s="9" t="n"/>
      <c r="B116" s="9" t="n"/>
      <c r="C116" s="9" t="n"/>
      <c r="D116" s="8" t="n"/>
      <c r="E116" s="9" t="n"/>
      <c r="F116" s="9" t="n"/>
      <c r="G116" s="9" t="n"/>
      <c r="H116" s="9" t="n"/>
      <c r="I116" s="9">
        <f>IF(COUNTIF(E116:H116,"Y")+COUNTIF(E116:H116,"N")=0,"",COUNTIF(E116:H116,"Y"))</f>
        <v/>
      </c>
      <c r="J116" s="9">
        <f>IF(I116="","",IF(I116=4,"Yes","No"))</f>
        <v/>
      </c>
      <c r="K116" s="9" t="n"/>
      <c r="L116" s="8" t="n"/>
    </row>
    <row r="117">
      <c r="A117" s="9" t="n"/>
      <c r="B117" s="9" t="n"/>
      <c r="C117" s="9" t="n"/>
      <c r="D117" s="8" t="n"/>
      <c r="E117" s="9" t="n"/>
      <c r="F117" s="9" t="n"/>
      <c r="G117" s="9" t="n"/>
      <c r="H117" s="9" t="n"/>
      <c r="I117" s="9">
        <f>IF(COUNTIF(E117:H117,"Y")+COUNTIF(E117:H117,"N")=0,"",COUNTIF(E117:H117,"Y"))</f>
        <v/>
      </c>
      <c r="J117" s="9">
        <f>IF(I117="","",IF(I117=4,"Yes","No"))</f>
        <v/>
      </c>
      <c r="K117" s="9" t="n"/>
      <c r="L117" s="8" t="n"/>
    </row>
    <row r="118">
      <c r="A118" s="9" t="n"/>
      <c r="B118" s="9" t="n"/>
      <c r="C118" s="9" t="n"/>
      <c r="D118" s="8" t="n"/>
      <c r="E118" s="9" t="n"/>
      <c r="F118" s="9" t="n"/>
      <c r="G118" s="9" t="n"/>
      <c r="H118" s="9" t="n"/>
      <c r="I118" s="9">
        <f>IF(COUNTIF(E118:H118,"Y")+COUNTIF(E118:H118,"N")=0,"",COUNTIF(E118:H118,"Y"))</f>
        <v/>
      </c>
      <c r="J118" s="9">
        <f>IF(I118="","",IF(I118=4,"Yes","No"))</f>
        <v/>
      </c>
      <c r="K118" s="9" t="n"/>
      <c r="L118" s="8" t="n"/>
    </row>
    <row r="119">
      <c r="A119" s="9" t="n"/>
      <c r="B119" s="9" t="n"/>
      <c r="C119" s="9" t="n"/>
      <c r="D119" s="8" t="n"/>
      <c r="E119" s="9" t="n"/>
      <c r="F119" s="9" t="n"/>
      <c r="G119" s="9" t="n"/>
      <c r="H119" s="9" t="n"/>
      <c r="I119" s="9">
        <f>IF(COUNTIF(E119:H119,"Y")+COUNTIF(E119:H119,"N")=0,"",COUNTIF(E119:H119,"Y"))</f>
        <v/>
      </c>
      <c r="J119" s="9">
        <f>IF(I119="","",IF(I119=4,"Yes","No"))</f>
        <v/>
      </c>
      <c r="K119" s="9" t="n"/>
      <c r="L119" s="8" t="n"/>
    </row>
    <row r="120">
      <c r="A120" s="9" t="n"/>
      <c r="B120" s="9" t="n"/>
      <c r="C120" s="9" t="n"/>
      <c r="D120" s="8" t="n"/>
      <c r="E120" s="9" t="n"/>
      <c r="F120" s="9" t="n"/>
      <c r="G120" s="9" t="n"/>
      <c r="H120" s="9" t="n"/>
      <c r="I120" s="9">
        <f>IF(COUNTIF(E120:H120,"Y")+COUNTIF(E120:H120,"N")=0,"",COUNTIF(E120:H120,"Y"))</f>
        <v/>
      </c>
      <c r="J120" s="9">
        <f>IF(I120="","",IF(I120=4,"Yes","No"))</f>
        <v/>
      </c>
      <c r="K120" s="9" t="n"/>
      <c r="L120" s="8" t="n"/>
    </row>
    <row r="121">
      <c r="A121" s="9" t="n"/>
      <c r="B121" s="9" t="n"/>
      <c r="C121" s="9" t="n"/>
      <c r="D121" s="8" t="n"/>
      <c r="E121" s="9" t="n"/>
      <c r="F121" s="9" t="n"/>
      <c r="G121" s="9" t="n"/>
      <c r="H121" s="9" t="n"/>
      <c r="I121" s="9">
        <f>IF(COUNTIF(E121:H121,"Y")+COUNTIF(E121:H121,"N")=0,"",COUNTIF(E121:H121,"Y"))</f>
        <v/>
      </c>
      <c r="J121" s="9">
        <f>IF(I121="","",IF(I121=4,"Yes","No"))</f>
        <v/>
      </c>
      <c r="K121" s="9" t="n"/>
      <c r="L121" s="8" t="n"/>
    </row>
    <row r="122">
      <c r="A122" s="9" t="n"/>
      <c r="B122" s="9" t="n"/>
      <c r="C122" s="9" t="n"/>
      <c r="D122" s="8" t="n"/>
      <c r="E122" s="9" t="n"/>
      <c r="F122" s="9" t="n"/>
      <c r="G122" s="9" t="n"/>
      <c r="H122" s="9" t="n"/>
      <c r="I122" s="9">
        <f>IF(COUNTIF(E122:H122,"Y")+COUNTIF(E122:H122,"N")=0,"",COUNTIF(E122:H122,"Y"))</f>
        <v/>
      </c>
      <c r="J122" s="9">
        <f>IF(I122="","",IF(I122=4,"Yes","No"))</f>
        <v/>
      </c>
      <c r="K122" s="9" t="n"/>
      <c r="L122" s="8" t="n"/>
    </row>
    <row r="123">
      <c r="A123" s="9" t="n"/>
      <c r="B123" s="9" t="n"/>
      <c r="C123" s="9" t="n"/>
      <c r="D123" s="8" t="n"/>
      <c r="E123" s="9" t="n"/>
      <c r="F123" s="9" t="n"/>
      <c r="G123" s="9" t="n"/>
      <c r="H123" s="9" t="n"/>
      <c r="I123" s="9">
        <f>IF(COUNTIF(E123:H123,"Y")+COUNTIF(E123:H123,"N")=0,"",COUNTIF(E123:H123,"Y"))</f>
        <v/>
      </c>
      <c r="J123" s="9">
        <f>IF(I123="","",IF(I123=4,"Yes","No"))</f>
        <v/>
      </c>
      <c r="K123" s="9" t="n"/>
      <c r="L123" s="8" t="n"/>
    </row>
    <row r="124">
      <c r="A124" s="9" t="n"/>
      <c r="B124" s="9" t="n"/>
      <c r="C124" s="9" t="n"/>
      <c r="D124" s="8" t="n"/>
      <c r="E124" s="9" t="n"/>
      <c r="F124" s="9" t="n"/>
      <c r="G124" s="9" t="n"/>
      <c r="H124" s="9" t="n"/>
      <c r="I124" s="9">
        <f>IF(COUNTIF(E124:H124,"Y")+COUNTIF(E124:H124,"N")=0,"",COUNTIF(E124:H124,"Y"))</f>
        <v/>
      </c>
      <c r="J124" s="9">
        <f>IF(I124="","",IF(I124=4,"Yes","No"))</f>
        <v/>
      </c>
      <c r="K124" s="9" t="n"/>
      <c r="L124" s="8" t="n"/>
    </row>
    <row r="125">
      <c r="A125" s="9" t="n"/>
      <c r="B125" s="9" t="n"/>
      <c r="C125" s="9" t="n"/>
      <c r="D125" s="8" t="n"/>
      <c r="E125" s="9" t="n"/>
      <c r="F125" s="9" t="n"/>
      <c r="G125" s="9" t="n"/>
      <c r="H125" s="9" t="n"/>
      <c r="I125" s="9">
        <f>IF(COUNTIF(E125:H125,"Y")+COUNTIF(E125:H125,"N")=0,"",COUNTIF(E125:H125,"Y"))</f>
        <v/>
      </c>
      <c r="J125" s="9">
        <f>IF(I125="","",IF(I125=4,"Yes","No"))</f>
        <v/>
      </c>
      <c r="K125" s="9" t="n"/>
      <c r="L125" s="8" t="n"/>
    </row>
    <row r="126">
      <c r="A126" s="9" t="n"/>
      <c r="B126" s="9" t="n"/>
      <c r="C126" s="9" t="n"/>
      <c r="D126" s="8" t="n"/>
      <c r="E126" s="9" t="n"/>
      <c r="F126" s="9" t="n"/>
      <c r="G126" s="9" t="n"/>
      <c r="H126" s="9" t="n"/>
      <c r="I126" s="9">
        <f>IF(COUNTIF(E126:H126,"Y")+COUNTIF(E126:H126,"N")=0,"",COUNTIF(E126:H126,"Y"))</f>
        <v/>
      </c>
      <c r="J126" s="9">
        <f>IF(I126="","",IF(I126=4,"Yes","No"))</f>
        <v/>
      </c>
      <c r="K126" s="9" t="n"/>
      <c r="L126" s="8" t="n"/>
    </row>
    <row r="127">
      <c r="A127" s="9" t="n"/>
      <c r="B127" s="9" t="n"/>
      <c r="C127" s="9" t="n"/>
      <c r="D127" s="8" t="n"/>
      <c r="E127" s="9" t="n"/>
      <c r="F127" s="9" t="n"/>
      <c r="G127" s="9" t="n"/>
      <c r="H127" s="9" t="n"/>
      <c r="I127" s="9">
        <f>IF(COUNTIF(E127:H127,"Y")+COUNTIF(E127:H127,"N")=0,"",COUNTIF(E127:H127,"Y"))</f>
        <v/>
      </c>
      <c r="J127" s="9">
        <f>IF(I127="","",IF(I127=4,"Yes","No"))</f>
        <v/>
      </c>
      <c r="K127" s="9" t="n"/>
      <c r="L127" s="8" t="n"/>
    </row>
    <row r="128">
      <c r="A128" s="9" t="n"/>
      <c r="B128" s="9" t="n"/>
      <c r="C128" s="9" t="n"/>
      <c r="D128" s="8" t="n"/>
      <c r="E128" s="9" t="n"/>
      <c r="F128" s="9" t="n"/>
      <c r="G128" s="9" t="n"/>
      <c r="H128" s="9" t="n"/>
      <c r="I128" s="9">
        <f>IF(COUNTIF(E128:H128,"Y")+COUNTIF(E128:H128,"N")=0,"",COUNTIF(E128:H128,"Y"))</f>
        <v/>
      </c>
      <c r="J128" s="9">
        <f>IF(I128="","",IF(I128=4,"Yes","No"))</f>
        <v/>
      </c>
      <c r="K128" s="9" t="n"/>
      <c r="L128" s="8" t="n"/>
    </row>
    <row r="129">
      <c r="A129" s="9" t="n"/>
      <c r="B129" s="9" t="n"/>
      <c r="C129" s="9" t="n"/>
      <c r="D129" s="8" t="n"/>
      <c r="E129" s="9" t="n"/>
      <c r="F129" s="9" t="n"/>
      <c r="G129" s="9" t="n"/>
      <c r="H129" s="9" t="n"/>
      <c r="I129" s="9">
        <f>IF(COUNTIF(E129:H129,"Y")+COUNTIF(E129:H129,"N")=0,"",COUNTIF(E129:H129,"Y"))</f>
        <v/>
      </c>
      <c r="J129" s="9">
        <f>IF(I129="","",IF(I129=4,"Yes","No"))</f>
        <v/>
      </c>
      <c r="K129" s="9" t="n"/>
      <c r="L129" s="8" t="n"/>
    </row>
    <row r="130">
      <c r="A130" s="9" t="n"/>
      <c r="B130" s="9" t="n"/>
      <c r="C130" s="9" t="n"/>
      <c r="D130" s="8" t="n"/>
      <c r="E130" s="9" t="n"/>
      <c r="F130" s="9" t="n"/>
      <c r="G130" s="9" t="n"/>
      <c r="H130" s="9" t="n"/>
      <c r="I130" s="9">
        <f>IF(COUNTIF(E130:H130,"Y")+COUNTIF(E130:H130,"N")=0,"",COUNTIF(E130:H130,"Y"))</f>
        <v/>
      </c>
      <c r="J130" s="9">
        <f>IF(I130="","",IF(I130=4,"Yes","No"))</f>
        <v/>
      </c>
      <c r="K130" s="9" t="n"/>
      <c r="L130" s="8" t="n"/>
    </row>
    <row r="131">
      <c r="A131" s="9" t="n"/>
      <c r="B131" s="9" t="n"/>
      <c r="C131" s="9" t="n"/>
      <c r="D131" s="8" t="n"/>
      <c r="E131" s="9" t="n"/>
      <c r="F131" s="9" t="n"/>
      <c r="G131" s="9" t="n"/>
      <c r="H131" s="9" t="n"/>
      <c r="I131" s="9">
        <f>IF(COUNTIF(E131:H131,"Y")+COUNTIF(E131:H131,"N")=0,"",COUNTIF(E131:H131,"Y"))</f>
        <v/>
      </c>
      <c r="J131" s="9">
        <f>IF(I131="","",IF(I131=4,"Yes","No"))</f>
        <v/>
      </c>
      <c r="K131" s="9" t="n"/>
      <c r="L131" s="8" t="n"/>
    </row>
    <row r="132">
      <c r="A132" s="9" t="n"/>
      <c r="B132" s="9" t="n"/>
      <c r="C132" s="9" t="n"/>
      <c r="D132" s="8" t="n"/>
      <c r="E132" s="9" t="n"/>
      <c r="F132" s="9" t="n"/>
      <c r="G132" s="9" t="n"/>
      <c r="H132" s="9" t="n"/>
      <c r="I132" s="9">
        <f>IF(COUNTIF(E132:H132,"Y")+COUNTIF(E132:H132,"N")=0,"",COUNTIF(E132:H132,"Y"))</f>
        <v/>
      </c>
      <c r="J132" s="9">
        <f>IF(I132="","",IF(I132=4,"Yes","No"))</f>
        <v/>
      </c>
      <c r="K132" s="9" t="n"/>
      <c r="L132" s="8" t="n"/>
    </row>
    <row r="133">
      <c r="A133" s="9" t="n"/>
      <c r="B133" s="9" t="n"/>
      <c r="C133" s="9" t="n"/>
      <c r="D133" s="8" t="n"/>
      <c r="E133" s="9" t="n"/>
      <c r="F133" s="9" t="n"/>
      <c r="G133" s="9" t="n"/>
      <c r="H133" s="9" t="n"/>
      <c r="I133" s="9">
        <f>IF(COUNTIF(E133:H133,"Y")+COUNTIF(E133:H133,"N")=0,"",COUNTIF(E133:H133,"Y"))</f>
        <v/>
      </c>
      <c r="J133" s="9">
        <f>IF(I133="","",IF(I133=4,"Yes","No"))</f>
        <v/>
      </c>
      <c r="K133" s="9" t="n"/>
      <c r="L133" s="8" t="n"/>
    </row>
    <row r="134">
      <c r="A134" s="9" t="n"/>
      <c r="B134" s="9" t="n"/>
      <c r="C134" s="9" t="n"/>
      <c r="D134" s="8" t="n"/>
      <c r="E134" s="9" t="n"/>
      <c r="F134" s="9" t="n"/>
      <c r="G134" s="9" t="n"/>
      <c r="H134" s="9" t="n"/>
      <c r="I134" s="9">
        <f>IF(COUNTIF(E134:H134,"Y")+COUNTIF(E134:H134,"N")=0,"",COUNTIF(E134:H134,"Y"))</f>
        <v/>
      </c>
      <c r="J134" s="9">
        <f>IF(I134="","",IF(I134=4,"Yes","No"))</f>
        <v/>
      </c>
      <c r="K134" s="9" t="n"/>
      <c r="L134" s="8" t="n"/>
    </row>
    <row r="135">
      <c r="A135" s="9" t="n"/>
      <c r="B135" s="9" t="n"/>
      <c r="C135" s="9" t="n"/>
      <c r="D135" s="8" t="n"/>
      <c r="E135" s="9" t="n"/>
      <c r="F135" s="9" t="n"/>
      <c r="G135" s="9" t="n"/>
      <c r="H135" s="9" t="n"/>
      <c r="I135" s="9">
        <f>IF(COUNTIF(E135:H135,"Y")+COUNTIF(E135:H135,"N")=0,"",COUNTIF(E135:H135,"Y"))</f>
        <v/>
      </c>
      <c r="J135" s="9">
        <f>IF(I135="","",IF(I135=4,"Yes","No"))</f>
        <v/>
      </c>
      <c r="K135" s="9" t="n"/>
      <c r="L135" s="8" t="n"/>
    </row>
    <row r="136">
      <c r="A136" s="9" t="n"/>
      <c r="B136" s="9" t="n"/>
      <c r="C136" s="9" t="n"/>
      <c r="D136" s="8" t="n"/>
      <c r="E136" s="9" t="n"/>
      <c r="F136" s="9" t="n"/>
      <c r="G136" s="9" t="n"/>
      <c r="H136" s="9" t="n"/>
      <c r="I136" s="9">
        <f>IF(COUNTIF(E136:H136,"Y")+COUNTIF(E136:H136,"N")=0,"",COUNTIF(E136:H136,"Y"))</f>
        <v/>
      </c>
      <c r="J136" s="9">
        <f>IF(I136="","",IF(I136=4,"Yes","No"))</f>
        <v/>
      </c>
      <c r="K136" s="9" t="n"/>
      <c r="L136" s="8" t="n"/>
    </row>
    <row r="137">
      <c r="A137" s="9" t="n"/>
      <c r="B137" s="9" t="n"/>
      <c r="C137" s="9" t="n"/>
      <c r="D137" s="8" t="n"/>
      <c r="E137" s="9" t="n"/>
      <c r="F137" s="9" t="n"/>
      <c r="G137" s="9" t="n"/>
      <c r="H137" s="9" t="n"/>
      <c r="I137" s="9">
        <f>IF(COUNTIF(E137:H137,"Y")+COUNTIF(E137:H137,"N")=0,"",COUNTIF(E137:H137,"Y"))</f>
        <v/>
      </c>
      <c r="J137" s="9">
        <f>IF(I137="","",IF(I137=4,"Yes","No"))</f>
        <v/>
      </c>
      <c r="K137" s="9" t="n"/>
      <c r="L137" s="8" t="n"/>
    </row>
    <row r="138">
      <c r="A138" s="9" t="n"/>
      <c r="B138" s="9" t="n"/>
      <c r="C138" s="9" t="n"/>
      <c r="D138" s="8" t="n"/>
      <c r="E138" s="9" t="n"/>
      <c r="F138" s="9" t="n"/>
      <c r="G138" s="9" t="n"/>
      <c r="H138" s="9" t="n"/>
      <c r="I138" s="9">
        <f>IF(COUNTIF(E138:H138,"Y")+COUNTIF(E138:H138,"N")=0,"",COUNTIF(E138:H138,"Y"))</f>
        <v/>
      </c>
      <c r="J138" s="9">
        <f>IF(I138="","",IF(I138=4,"Yes","No"))</f>
        <v/>
      </c>
      <c r="K138" s="9" t="n"/>
      <c r="L138" s="8" t="n"/>
    </row>
    <row r="139">
      <c r="A139" s="9" t="n"/>
      <c r="B139" s="9" t="n"/>
      <c r="C139" s="9" t="n"/>
      <c r="D139" s="8" t="n"/>
      <c r="E139" s="9" t="n"/>
      <c r="F139" s="9" t="n"/>
      <c r="G139" s="9" t="n"/>
      <c r="H139" s="9" t="n"/>
      <c r="I139" s="9">
        <f>IF(COUNTIF(E139:H139,"Y")+COUNTIF(E139:H139,"N")=0,"",COUNTIF(E139:H139,"Y"))</f>
        <v/>
      </c>
      <c r="J139" s="9">
        <f>IF(I139="","",IF(I139=4,"Yes","No"))</f>
        <v/>
      </c>
      <c r="K139" s="9" t="n"/>
      <c r="L139" s="8" t="n"/>
    </row>
    <row r="140">
      <c r="A140" s="9" t="n"/>
      <c r="B140" s="9" t="n"/>
      <c r="C140" s="9" t="n"/>
      <c r="D140" s="8" t="n"/>
      <c r="E140" s="9" t="n"/>
      <c r="F140" s="9" t="n"/>
      <c r="G140" s="9" t="n"/>
      <c r="H140" s="9" t="n"/>
      <c r="I140" s="9">
        <f>IF(COUNTIF(E140:H140,"Y")+COUNTIF(E140:H140,"N")=0,"",COUNTIF(E140:H140,"Y"))</f>
        <v/>
      </c>
      <c r="J140" s="9">
        <f>IF(I140="","",IF(I140=4,"Yes","No"))</f>
        <v/>
      </c>
      <c r="K140" s="9" t="n"/>
      <c r="L140" s="8" t="n"/>
    </row>
    <row r="141">
      <c r="A141" s="9" t="n"/>
      <c r="B141" s="9" t="n"/>
      <c r="C141" s="9" t="n"/>
      <c r="D141" s="8" t="n"/>
      <c r="E141" s="9" t="n"/>
      <c r="F141" s="9" t="n"/>
      <c r="G141" s="9" t="n"/>
      <c r="H141" s="9" t="n"/>
      <c r="I141" s="9">
        <f>IF(COUNTIF(E141:H141,"Y")+COUNTIF(E141:H141,"N")=0,"",COUNTIF(E141:H141,"Y"))</f>
        <v/>
      </c>
      <c r="J141" s="9">
        <f>IF(I141="","",IF(I141=4,"Yes","No"))</f>
        <v/>
      </c>
      <c r="K141" s="9" t="n"/>
      <c r="L141" s="8" t="n"/>
    </row>
    <row r="142">
      <c r="A142" s="9" t="n"/>
      <c r="B142" s="9" t="n"/>
      <c r="C142" s="9" t="n"/>
      <c r="D142" s="8" t="n"/>
      <c r="E142" s="9" t="n"/>
      <c r="F142" s="9" t="n"/>
      <c r="G142" s="9" t="n"/>
      <c r="H142" s="9" t="n"/>
      <c r="I142" s="9">
        <f>IF(COUNTIF(E142:H142,"Y")+COUNTIF(E142:H142,"N")=0,"",COUNTIF(E142:H142,"Y"))</f>
        <v/>
      </c>
      <c r="J142" s="9">
        <f>IF(I142="","",IF(I142=4,"Yes","No"))</f>
        <v/>
      </c>
      <c r="K142" s="9" t="n"/>
      <c r="L142" s="8" t="n"/>
    </row>
    <row r="143">
      <c r="A143" s="9" t="n"/>
      <c r="B143" s="9" t="n"/>
      <c r="C143" s="9" t="n"/>
      <c r="D143" s="8" t="n"/>
      <c r="E143" s="9" t="n"/>
      <c r="F143" s="9" t="n"/>
      <c r="G143" s="9" t="n"/>
      <c r="H143" s="9" t="n"/>
      <c r="I143" s="9">
        <f>IF(COUNTIF(E143:H143,"Y")+COUNTIF(E143:H143,"N")=0,"",COUNTIF(E143:H143,"Y"))</f>
        <v/>
      </c>
      <c r="J143" s="9">
        <f>IF(I143="","",IF(I143=4,"Yes","No"))</f>
        <v/>
      </c>
      <c r="K143" s="9" t="n"/>
      <c r="L143" s="8" t="n"/>
    </row>
    <row r="144">
      <c r="A144" s="9" t="n"/>
      <c r="B144" s="9" t="n"/>
      <c r="C144" s="9" t="n"/>
      <c r="D144" s="8" t="n"/>
      <c r="E144" s="9" t="n"/>
      <c r="F144" s="9" t="n"/>
      <c r="G144" s="9" t="n"/>
      <c r="H144" s="9" t="n"/>
      <c r="I144" s="9">
        <f>IF(COUNTIF(E144:H144,"Y")+COUNTIF(E144:H144,"N")=0,"",COUNTIF(E144:H144,"Y"))</f>
        <v/>
      </c>
      <c r="J144" s="9">
        <f>IF(I144="","",IF(I144=4,"Yes","No"))</f>
        <v/>
      </c>
      <c r="K144" s="9" t="n"/>
      <c r="L144" s="8" t="n"/>
    </row>
    <row r="145">
      <c r="A145" s="9" t="n"/>
      <c r="B145" s="9" t="n"/>
      <c r="C145" s="9" t="n"/>
      <c r="D145" s="8" t="n"/>
      <c r="E145" s="9" t="n"/>
      <c r="F145" s="9" t="n"/>
      <c r="G145" s="9" t="n"/>
      <c r="H145" s="9" t="n"/>
      <c r="I145" s="9">
        <f>IF(COUNTIF(E145:H145,"Y")+COUNTIF(E145:H145,"N")=0,"",COUNTIF(E145:H145,"Y"))</f>
        <v/>
      </c>
      <c r="J145" s="9">
        <f>IF(I145="","",IF(I145=4,"Yes","No"))</f>
        <v/>
      </c>
      <c r="K145" s="9" t="n"/>
      <c r="L145" s="8" t="n"/>
    </row>
    <row r="146">
      <c r="A146" s="9" t="n"/>
      <c r="B146" s="9" t="n"/>
      <c r="C146" s="9" t="n"/>
      <c r="D146" s="8" t="n"/>
      <c r="E146" s="9" t="n"/>
      <c r="F146" s="9" t="n"/>
      <c r="G146" s="9" t="n"/>
      <c r="H146" s="9" t="n"/>
      <c r="I146" s="9">
        <f>IF(COUNTIF(E146:H146,"Y")+COUNTIF(E146:H146,"N")=0,"",COUNTIF(E146:H146,"Y"))</f>
        <v/>
      </c>
      <c r="J146" s="9">
        <f>IF(I146="","",IF(I146=4,"Yes","No"))</f>
        <v/>
      </c>
      <c r="K146" s="9" t="n"/>
      <c r="L146" s="8" t="n"/>
    </row>
    <row r="147">
      <c r="A147" s="9" t="n"/>
      <c r="B147" s="9" t="n"/>
      <c r="C147" s="9" t="n"/>
      <c r="D147" s="8" t="n"/>
      <c r="E147" s="9" t="n"/>
      <c r="F147" s="9" t="n"/>
      <c r="G147" s="9" t="n"/>
      <c r="H147" s="9" t="n"/>
      <c r="I147" s="9">
        <f>IF(COUNTIF(E147:H147,"Y")+COUNTIF(E147:H147,"N")=0,"",COUNTIF(E147:H147,"Y"))</f>
        <v/>
      </c>
      <c r="J147" s="9">
        <f>IF(I147="","",IF(I147=4,"Yes","No"))</f>
        <v/>
      </c>
      <c r="K147" s="9" t="n"/>
      <c r="L147" s="8" t="n"/>
    </row>
    <row r="148">
      <c r="A148" s="9" t="n"/>
      <c r="B148" s="9" t="n"/>
      <c r="C148" s="9" t="n"/>
      <c r="D148" s="8" t="n"/>
      <c r="E148" s="9" t="n"/>
      <c r="F148" s="9" t="n"/>
      <c r="G148" s="9" t="n"/>
      <c r="H148" s="9" t="n"/>
      <c r="I148" s="9">
        <f>IF(COUNTIF(E148:H148,"Y")+COUNTIF(E148:H148,"N")=0,"",COUNTIF(E148:H148,"Y"))</f>
        <v/>
      </c>
      <c r="J148" s="9">
        <f>IF(I148="","",IF(I148=4,"Yes","No"))</f>
        <v/>
      </c>
      <c r="K148" s="9" t="n"/>
      <c r="L148" s="8" t="n"/>
    </row>
    <row r="149">
      <c r="A149" s="9" t="n"/>
      <c r="B149" s="9" t="n"/>
      <c r="C149" s="9" t="n"/>
      <c r="D149" s="8" t="n"/>
      <c r="E149" s="9" t="n"/>
      <c r="F149" s="9" t="n"/>
      <c r="G149" s="9" t="n"/>
      <c r="H149" s="9" t="n"/>
      <c r="I149" s="9">
        <f>IF(COUNTIF(E149:H149,"Y")+COUNTIF(E149:H149,"N")=0,"",COUNTIF(E149:H149,"Y"))</f>
        <v/>
      </c>
      <c r="J149" s="9">
        <f>IF(I149="","",IF(I149=4,"Yes","No"))</f>
        <v/>
      </c>
      <c r="K149" s="9" t="n"/>
      <c r="L149" s="8" t="n"/>
    </row>
    <row r="150">
      <c r="A150" s="9" t="n"/>
      <c r="B150" s="9" t="n"/>
      <c r="C150" s="9" t="n"/>
      <c r="D150" s="8" t="n"/>
      <c r="E150" s="9" t="n"/>
      <c r="F150" s="9" t="n"/>
      <c r="G150" s="9" t="n"/>
      <c r="H150" s="9" t="n"/>
      <c r="I150" s="9">
        <f>IF(COUNTIF(E150:H150,"Y")+COUNTIF(E150:H150,"N")=0,"",COUNTIF(E150:H150,"Y"))</f>
        <v/>
      </c>
      <c r="J150" s="9">
        <f>IF(I150="","",IF(I150=4,"Yes","No"))</f>
        <v/>
      </c>
      <c r="K150" s="9" t="n"/>
      <c r="L150" s="8" t="n"/>
    </row>
    <row r="151">
      <c r="A151" s="9" t="n"/>
      <c r="B151" s="9" t="n"/>
      <c r="C151" s="9" t="n"/>
      <c r="D151" s="8" t="n"/>
      <c r="E151" s="9" t="n"/>
      <c r="F151" s="9" t="n"/>
      <c r="G151" s="9" t="n"/>
      <c r="H151" s="9" t="n"/>
      <c r="I151" s="9">
        <f>IF(COUNTIF(E151:H151,"Y")+COUNTIF(E151:H151,"N")=0,"",COUNTIF(E151:H151,"Y"))</f>
        <v/>
      </c>
      <c r="J151" s="9">
        <f>IF(I151="","",IF(I151=4,"Yes","No"))</f>
        <v/>
      </c>
      <c r="K151" s="9" t="n"/>
      <c r="L151" s="8" t="n"/>
    </row>
    <row r="152">
      <c r="A152" s="9" t="n"/>
      <c r="B152" s="9" t="n"/>
      <c r="C152" s="9" t="n"/>
      <c r="D152" s="8" t="n"/>
      <c r="E152" s="9" t="n"/>
      <c r="F152" s="9" t="n"/>
      <c r="G152" s="9" t="n"/>
      <c r="H152" s="9" t="n"/>
      <c r="I152" s="9">
        <f>IF(COUNTIF(E152:H152,"Y")+COUNTIF(E152:H152,"N")=0,"",COUNTIF(E152:H152,"Y"))</f>
        <v/>
      </c>
      <c r="J152" s="9">
        <f>IF(I152="","",IF(I152=4,"Yes","No"))</f>
        <v/>
      </c>
      <c r="K152" s="9" t="n"/>
      <c r="L152" s="8" t="n"/>
    </row>
    <row r="153">
      <c r="A153" s="9" t="n"/>
      <c r="B153" s="9" t="n"/>
      <c r="C153" s="9" t="n"/>
      <c r="D153" s="8" t="n"/>
      <c r="E153" s="9" t="n"/>
      <c r="F153" s="9" t="n"/>
      <c r="G153" s="9" t="n"/>
      <c r="H153" s="9" t="n"/>
      <c r="I153" s="9">
        <f>IF(COUNTIF(E153:H153,"Y")+COUNTIF(E153:H153,"N")=0,"",COUNTIF(E153:H153,"Y"))</f>
        <v/>
      </c>
      <c r="J153" s="9">
        <f>IF(I153="","",IF(I153=4,"Yes","No"))</f>
        <v/>
      </c>
      <c r="K153" s="9" t="n"/>
      <c r="L153" s="8" t="n"/>
    </row>
    <row r="154">
      <c r="A154" s="9" t="n"/>
      <c r="B154" s="9" t="n"/>
      <c r="C154" s="9" t="n"/>
      <c r="D154" s="8" t="n"/>
      <c r="E154" s="9" t="n"/>
      <c r="F154" s="9" t="n"/>
      <c r="G154" s="9" t="n"/>
      <c r="H154" s="9" t="n"/>
      <c r="I154" s="9">
        <f>IF(COUNTIF(E154:H154,"Y")+COUNTIF(E154:H154,"N")=0,"",COUNTIF(E154:H154,"Y"))</f>
        <v/>
      </c>
      <c r="J154" s="9">
        <f>IF(I154="","",IF(I154=4,"Yes","No"))</f>
        <v/>
      </c>
      <c r="K154" s="9" t="n"/>
      <c r="L154" s="8" t="n"/>
    </row>
    <row r="155">
      <c r="A155" s="9" t="n"/>
      <c r="B155" s="9" t="n"/>
      <c r="C155" s="9" t="n"/>
      <c r="D155" s="8" t="n"/>
      <c r="E155" s="9" t="n"/>
      <c r="F155" s="9" t="n"/>
      <c r="G155" s="9" t="n"/>
      <c r="H155" s="9" t="n"/>
      <c r="I155" s="9">
        <f>IF(COUNTIF(E155:H155,"Y")+COUNTIF(E155:H155,"N")=0,"",COUNTIF(E155:H155,"Y"))</f>
        <v/>
      </c>
      <c r="J155" s="9">
        <f>IF(I155="","",IF(I155=4,"Yes","No"))</f>
        <v/>
      </c>
      <c r="K155" s="9" t="n"/>
      <c r="L155" s="8" t="n"/>
    </row>
    <row r="156">
      <c r="A156" s="9" t="n"/>
      <c r="B156" s="9" t="n"/>
      <c r="C156" s="9" t="n"/>
      <c r="D156" s="8" t="n"/>
      <c r="E156" s="9" t="n"/>
      <c r="F156" s="9" t="n"/>
      <c r="G156" s="9" t="n"/>
      <c r="H156" s="9" t="n"/>
      <c r="I156" s="9">
        <f>IF(COUNTIF(E156:H156,"Y")+COUNTIF(E156:H156,"N")=0,"",COUNTIF(E156:H156,"Y"))</f>
        <v/>
      </c>
      <c r="J156" s="9">
        <f>IF(I156="","",IF(I156=4,"Yes","No"))</f>
        <v/>
      </c>
      <c r="K156" s="9" t="n"/>
      <c r="L156" s="8" t="n"/>
    </row>
    <row r="157">
      <c r="A157" s="9" t="n"/>
      <c r="B157" s="9" t="n"/>
      <c r="C157" s="9" t="n"/>
      <c r="D157" s="8" t="n"/>
      <c r="E157" s="9" t="n"/>
      <c r="F157" s="9" t="n"/>
      <c r="G157" s="9" t="n"/>
      <c r="H157" s="9" t="n"/>
      <c r="I157" s="9">
        <f>IF(COUNTIF(E157:H157,"Y")+COUNTIF(E157:H157,"N")=0,"",COUNTIF(E157:H157,"Y"))</f>
        <v/>
      </c>
      <c r="J157" s="9">
        <f>IF(I157="","",IF(I157=4,"Yes","No"))</f>
        <v/>
      </c>
      <c r="K157" s="9" t="n"/>
      <c r="L157" s="8" t="n"/>
    </row>
    <row r="158">
      <c r="A158" s="9" t="n"/>
      <c r="B158" s="9" t="n"/>
      <c r="C158" s="9" t="n"/>
      <c r="D158" s="8" t="n"/>
      <c r="E158" s="9" t="n"/>
      <c r="F158" s="9" t="n"/>
      <c r="G158" s="9" t="n"/>
      <c r="H158" s="9" t="n"/>
      <c r="I158" s="9">
        <f>IF(COUNTIF(E158:H158,"Y")+COUNTIF(E158:H158,"N")=0,"",COUNTIF(E158:H158,"Y"))</f>
        <v/>
      </c>
      <c r="J158" s="9">
        <f>IF(I158="","",IF(I158=4,"Yes","No"))</f>
        <v/>
      </c>
      <c r="K158" s="9" t="n"/>
      <c r="L158" s="8" t="n"/>
    </row>
    <row r="159">
      <c r="A159" s="9" t="n"/>
      <c r="B159" s="9" t="n"/>
      <c r="C159" s="9" t="n"/>
      <c r="D159" s="8" t="n"/>
      <c r="E159" s="9" t="n"/>
      <c r="F159" s="9" t="n"/>
      <c r="G159" s="9" t="n"/>
      <c r="H159" s="9" t="n"/>
      <c r="I159" s="9">
        <f>IF(COUNTIF(E159:H159,"Y")+COUNTIF(E159:H159,"N")=0,"",COUNTIF(E159:H159,"Y"))</f>
        <v/>
      </c>
      <c r="J159" s="9">
        <f>IF(I159="","",IF(I159=4,"Yes","No"))</f>
        <v/>
      </c>
      <c r="K159" s="9" t="n"/>
      <c r="L159" s="8" t="n"/>
    </row>
    <row r="160">
      <c r="A160" s="9" t="n"/>
      <c r="B160" s="9" t="n"/>
      <c r="C160" s="9" t="n"/>
      <c r="D160" s="8" t="n"/>
      <c r="E160" s="9" t="n"/>
      <c r="F160" s="9" t="n"/>
      <c r="G160" s="9" t="n"/>
      <c r="H160" s="9" t="n"/>
      <c r="I160" s="9">
        <f>IF(COUNTIF(E160:H160,"Y")+COUNTIF(E160:H160,"N")=0,"",COUNTIF(E160:H160,"Y"))</f>
        <v/>
      </c>
      <c r="J160" s="9">
        <f>IF(I160="","",IF(I160=4,"Yes","No"))</f>
        <v/>
      </c>
      <c r="K160" s="9" t="n"/>
      <c r="L160" s="8" t="n"/>
    </row>
    <row r="161">
      <c r="A161" s="9" t="n"/>
      <c r="B161" s="9" t="n"/>
      <c r="C161" s="9" t="n"/>
      <c r="D161" s="8" t="n"/>
      <c r="E161" s="9" t="n"/>
      <c r="F161" s="9" t="n"/>
      <c r="G161" s="9" t="n"/>
      <c r="H161" s="9" t="n"/>
      <c r="I161" s="9">
        <f>IF(COUNTIF(E161:H161,"Y")+COUNTIF(E161:H161,"N")=0,"",COUNTIF(E161:H161,"Y"))</f>
        <v/>
      </c>
      <c r="J161" s="9">
        <f>IF(I161="","",IF(I161=4,"Yes","No"))</f>
        <v/>
      </c>
      <c r="K161" s="9" t="n"/>
      <c r="L161" s="8" t="n"/>
    </row>
    <row r="162">
      <c r="A162" s="9" t="n"/>
      <c r="B162" s="9" t="n"/>
      <c r="C162" s="9" t="n"/>
      <c r="D162" s="8" t="n"/>
      <c r="E162" s="9" t="n"/>
      <c r="F162" s="9" t="n"/>
      <c r="G162" s="9" t="n"/>
      <c r="H162" s="9" t="n"/>
      <c r="I162" s="9">
        <f>IF(COUNTIF(E162:H162,"Y")+COUNTIF(E162:H162,"N")=0,"",COUNTIF(E162:H162,"Y"))</f>
        <v/>
      </c>
      <c r="J162" s="9">
        <f>IF(I162="","",IF(I162=4,"Yes","No"))</f>
        <v/>
      </c>
      <c r="K162" s="9" t="n"/>
      <c r="L162" s="8" t="n"/>
    </row>
    <row r="163">
      <c r="A163" s="9" t="n"/>
      <c r="B163" s="9" t="n"/>
      <c r="C163" s="9" t="n"/>
      <c r="D163" s="8" t="n"/>
      <c r="E163" s="9" t="n"/>
      <c r="F163" s="9" t="n"/>
      <c r="G163" s="9" t="n"/>
      <c r="H163" s="9" t="n"/>
      <c r="I163" s="9">
        <f>IF(COUNTIF(E163:H163,"Y")+COUNTIF(E163:H163,"N")=0,"",COUNTIF(E163:H163,"Y"))</f>
        <v/>
      </c>
      <c r="J163" s="9">
        <f>IF(I163="","",IF(I163=4,"Yes","No"))</f>
        <v/>
      </c>
      <c r="K163" s="9" t="n"/>
      <c r="L163" s="8" t="n"/>
    </row>
    <row r="164">
      <c r="A164" s="9" t="n"/>
      <c r="B164" s="9" t="n"/>
      <c r="C164" s="9" t="n"/>
      <c r="D164" s="8" t="n"/>
      <c r="E164" s="9" t="n"/>
      <c r="F164" s="9" t="n"/>
      <c r="G164" s="9" t="n"/>
      <c r="H164" s="9" t="n"/>
      <c r="I164" s="9">
        <f>IF(COUNTIF(E164:H164,"Y")+COUNTIF(E164:H164,"N")=0,"",COUNTIF(E164:H164,"Y"))</f>
        <v/>
      </c>
      <c r="J164" s="9">
        <f>IF(I164="","",IF(I164=4,"Yes","No"))</f>
        <v/>
      </c>
      <c r="K164" s="9" t="n"/>
      <c r="L164" s="8" t="n"/>
    </row>
    <row r="165">
      <c r="A165" s="9" t="n"/>
      <c r="B165" s="9" t="n"/>
      <c r="C165" s="9" t="n"/>
      <c r="D165" s="8" t="n"/>
      <c r="E165" s="9" t="n"/>
      <c r="F165" s="9" t="n"/>
      <c r="G165" s="9" t="n"/>
      <c r="H165" s="9" t="n"/>
      <c r="I165" s="9">
        <f>IF(COUNTIF(E165:H165,"Y")+COUNTIF(E165:H165,"N")=0,"",COUNTIF(E165:H165,"Y"))</f>
        <v/>
      </c>
      <c r="J165" s="9">
        <f>IF(I165="","",IF(I165=4,"Yes","No"))</f>
        <v/>
      </c>
      <c r="K165" s="9" t="n"/>
      <c r="L165" s="8" t="n"/>
    </row>
    <row r="166">
      <c r="A166" s="9" t="n"/>
      <c r="B166" s="9" t="n"/>
      <c r="C166" s="9" t="n"/>
      <c r="D166" s="8" t="n"/>
      <c r="E166" s="9" t="n"/>
      <c r="F166" s="9" t="n"/>
      <c r="G166" s="9" t="n"/>
      <c r="H166" s="9" t="n"/>
      <c r="I166" s="9">
        <f>IF(COUNTIF(E166:H166,"Y")+COUNTIF(E166:H166,"N")=0,"",COUNTIF(E166:H166,"Y"))</f>
        <v/>
      </c>
      <c r="J166" s="9">
        <f>IF(I166="","",IF(I166=4,"Yes","No"))</f>
        <v/>
      </c>
      <c r="K166" s="9" t="n"/>
      <c r="L166" s="8" t="n"/>
    </row>
    <row r="167">
      <c r="A167" s="9" t="n"/>
      <c r="B167" s="9" t="n"/>
      <c r="C167" s="9" t="n"/>
      <c r="D167" s="8" t="n"/>
      <c r="E167" s="9" t="n"/>
      <c r="F167" s="9" t="n"/>
      <c r="G167" s="9" t="n"/>
      <c r="H167" s="9" t="n"/>
      <c r="I167" s="9">
        <f>IF(COUNTIF(E167:H167,"Y")+COUNTIF(E167:H167,"N")=0,"",COUNTIF(E167:H167,"Y"))</f>
        <v/>
      </c>
      <c r="J167" s="9">
        <f>IF(I167="","",IF(I167=4,"Yes","No"))</f>
        <v/>
      </c>
      <c r="K167" s="9" t="n"/>
      <c r="L167" s="8" t="n"/>
    </row>
    <row r="168">
      <c r="A168" s="9" t="n"/>
      <c r="B168" s="9" t="n"/>
      <c r="C168" s="9" t="n"/>
      <c r="D168" s="8" t="n"/>
      <c r="E168" s="9" t="n"/>
      <c r="F168" s="9" t="n"/>
      <c r="G168" s="9" t="n"/>
      <c r="H168" s="9" t="n"/>
      <c r="I168" s="9">
        <f>IF(COUNTIF(E168:H168,"Y")+COUNTIF(E168:H168,"N")=0,"",COUNTIF(E168:H168,"Y"))</f>
        <v/>
      </c>
      <c r="J168" s="9">
        <f>IF(I168="","",IF(I168=4,"Yes","No"))</f>
        <v/>
      </c>
      <c r="K168" s="9" t="n"/>
      <c r="L168" s="8" t="n"/>
    </row>
    <row r="169">
      <c r="A169" s="9" t="n"/>
      <c r="B169" s="9" t="n"/>
      <c r="C169" s="9" t="n"/>
      <c r="D169" s="8" t="n"/>
      <c r="E169" s="9" t="n"/>
      <c r="F169" s="9" t="n"/>
      <c r="G169" s="9" t="n"/>
      <c r="H169" s="9" t="n"/>
      <c r="I169" s="9">
        <f>IF(COUNTIF(E169:H169,"Y")+COUNTIF(E169:H169,"N")=0,"",COUNTIF(E169:H169,"Y"))</f>
        <v/>
      </c>
      <c r="J169" s="9">
        <f>IF(I169="","",IF(I169=4,"Yes","No"))</f>
        <v/>
      </c>
      <c r="K169" s="9" t="n"/>
      <c r="L169" s="8" t="n"/>
    </row>
    <row r="170">
      <c r="A170" s="9" t="n"/>
      <c r="B170" s="9" t="n"/>
      <c r="C170" s="9" t="n"/>
      <c r="D170" s="8" t="n"/>
      <c r="E170" s="9" t="n"/>
      <c r="F170" s="9" t="n"/>
      <c r="G170" s="9" t="n"/>
      <c r="H170" s="9" t="n"/>
      <c r="I170" s="9">
        <f>IF(COUNTIF(E170:H170,"Y")+COUNTIF(E170:H170,"N")=0,"",COUNTIF(E170:H170,"Y"))</f>
        <v/>
      </c>
      <c r="J170" s="9">
        <f>IF(I170="","",IF(I170=4,"Yes","No"))</f>
        <v/>
      </c>
      <c r="K170" s="9" t="n"/>
      <c r="L170" s="8" t="n"/>
    </row>
    <row r="171">
      <c r="A171" s="9" t="n"/>
      <c r="B171" s="9" t="n"/>
      <c r="C171" s="9" t="n"/>
      <c r="D171" s="8" t="n"/>
      <c r="E171" s="9" t="n"/>
      <c r="F171" s="9" t="n"/>
      <c r="G171" s="9" t="n"/>
      <c r="H171" s="9" t="n"/>
      <c r="I171" s="9">
        <f>IF(COUNTIF(E171:H171,"Y")+COUNTIF(E171:H171,"N")=0,"",COUNTIF(E171:H171,"Y"))</f>
        <v/>
      </c>
      <c r="J171" s="9">
        <f>IF(I171="","",IF(I171=4,"Yes","No"))</f>
        <v/>
      </c>
      <c r="K171" s="9" t="n"/>
      <c r="L171" s="8" t="n"/>
    </row>
    <row r="172">
      <c r="A172" s="9" t="n"/>
      <c r="B172" s="9" t="n"/>
      <c r="C172" s="9" t="n"/>
      <c r="D172" s="8" t="n"/>
      <c r="E172" s="9" t="n"/>
      <c r="F172" s="9" t="n"/>
      <c r="G172" s="9" t="n"/>
      <c r="H172" s="9" t="n"/>
      <c r="I172" s="9">
        <f>IF(COUNTIF(E172:H172,"Y")+COUNTIF(E172:H172,"N")=0,"",COUNTIF(E172:H172,"Y"))</f>
        <v/>
      </c>
      <c r="J172" s="9">
        <f>IF(I172="","",IF(I172=4,"Yes","No"))</f>
        <v/>
      </c>
      <c r="K172" s="9" t="n"/>
      <c r="L172" s="8" t="n"/>
    </row>
    <row r="173">
      <c r="A173" s="9" t="n"/>
      <c r="B173" s="9" t="n"/>
      <c r="C173" s="9" t="n"/>
      <c r="D173" s="8" t="n"/>
      <c r="E173" s="9" t="n"/>
      <c r="F173" s="9" t="n"/>
      <c r="G173" s="9" t="n"/>
      <c r="H173" s="9" t="n"/>
      <c r="I173" s="9">
        <f>IF(COUNTIF(E173:H173,"Y")+COUNTIF(E173:H173,"N")=0,"",COUNTIF(E173:H173,"Y"))</f>
        <v/>
      </c>
      <c r="J173" s="9">
        <f>IF(I173="","",IF(I173=4,"Yes","No"))</f>
        <v/>
      </c>
      <c r="K173" s="9" t="n"/>
      <c r="L173" s="8" t="n"/>
    </row>
    <row r="174">
      <c r="A174" s="9" t="n"/>
      <c r="B174" s="9" t="n"/>
      <c r="C174" s="9" t="n"/>
      <c r="D174" s="8" t="n"/>
      <c r="E174" s="9" t="n"/>
      <c r="F174" s="9" t="n"/>
      <c r="G174" s="9" t="n"/>
      <c r="H174" s="9" t="n"/>
      <c r="I174" s="9">
        <f>IF(COUNTIF(E174:H174,"Y")+COUNTIF(E174:H174,"N")=0,"",COUNTIF(E174:H174,"Y"))</f>
        <v/>
      </c>
      <c r="J174" s="9">
        <f>IF(I174="","",IF(I174=4,"Yes","No"))</f>
        <v/>
      </c>
      <c r="K174" s="9" t="n"/>
      <c r="L174" s="8" t="n"/>
    </row>
    <row r="175">
      <c r="A175" s="9" t="n"/>
      <c r="B175" s="9" t="n"/>
      <c r="C175" s="9" t="n"/>
      <c r="D175" s="8" t="n"/>
      <c r="E175" s="9" t="n"/>
      <c r="F175" s="9" t="n"/>
      <c r="G175" s="9" t="n"/>
      <c r="H175" s="9" t="n"/>
      <c r="I175" s="9">
        <f>IF(COUNTIF(E175:H175,"Y")+COUNTIF(E175:H175,"N")=0,"",COUNTIF(E175:H175,"Y"))</f>
        <v/>
      </c>
      <c r="J175" s="9">
        <f>IF(I175="","",IF(I175=4,"Yes","No"))</f>
        <v/>
      </c>
      <c r="K175" s="9" t="n"/>
      <c r="L175" s="8" t="n"/>
    </row>
    <row r="176">
      <c r="A176" s="9" t="n"/>
      <c r="B176" s="9" t="n"/>
      <c r="C176" s="9" t="n"/>
      <c r="D176" s="8" t="n"/>
      <c r="E176" s="9" t="n"/>
      <c r="F176" s="9" t="n"/>
      <c r="G176" s="9" t="n"/>
      <c r="H176" s="9" t="n"/>
      <c r="I176" s="9">
        <f>IF(COUNTIF(E176:H176,"Y")+COUNTIF(E176:H176,"N")=0,"",COUNTIF(E176:H176,"Y"))</f>
        <v/>
      </c>
      <c r="J176" s="9">
        <f>IF(I176="","",IF(I176=4,"Yes","No"))</f>
        <v/>
      </c>
      <c r="K176" s="9" t="n"/>
      <c r="L176" s="8" t="n"/>
    </row>
    <row r="177">
      <c r="A177" s="9" t="n"/>
      <c r="B177" s="9" t="n"/>
      <c r="C177" s="9" t="n"/>
      <c r="D177" s="8" t="n"/>
      <c r="E177" s="9" t="n"/>
      <c r="F177" s="9" t="n"/>
      <c r="G177" s="9" t="n"/>
      <c r="H177" s="9" t="n"/>
      <c r="I177" s="9">
        <f>IF(COUNTIF(E177:H177,"Y")+COUNTIF(E177:H177,"N")=0,"",COUNTIF(E177:H177,"Y"))</f>
        <v/>
      </c>
      <c r="J177" s="9">
        <f>IF(I177="","",IF(I177=4,"Yes","No"))</f>
        <v/>
      </c>
      <c r="K177" s="9" t="n"/>
      <c r="L177" s="8" t="n"/>
    </row>
    <row r="178">
      <c r="A178" s="9" t="n"/>
      <c r="B178" s="9" t="n"/>
      <c r="C178" s="9" t="n"/>
      <c r="D178" s="8" t="n"/>
      <c r="E178" s="9" t="n"/>
      <c r="F178" s="9" t="n"/>
      <c r="G178" s="9" t="n"/>
      <c r="H178" s="9" t="n"/>
      <c r="I178" s="9">
        <f>IF(COUNTIF(E178:H178,"Y")+COUNTIF(E178:H178,"N")=0,"",COUNTIF(E178:H178,"Y"))</f>
        <v/>
      </c>
      <c r="J178" s="9">
        <f>IF(I178="","",IF(I178=4,"Yes","No"))</f>
        <v/>
      </c>
      <c r="K178" s="9" t="n"/>
      <c r="L178" s="8" t="n"/>
    </row>
    <row r="179">
      <c r="A179" s="9" t="n"/>
      <c r="B179" s="9" t="n"/>
      <c r="C179" s="9" t="n"/>
      <c r="D179" s="8" t="n"/>
      <c r="E179" s="9" t="n"/>
      <c r="F179" s="9" t="n"/>
      <c r="G179" s="9" t="n"/>
      <c r="H179" s="9" t="n"/>
      <c r="I179" s="9">
        <f>IF(COUNTIF(E179:H179,"Y")+COUNTIF(E179:H179,"N")=0,"",COUNTIF(E179:H179,"Y"))</f>
        <v/>
      </c>
      <c r="J179" s="9">
        <f>IF(I179="","",IF(I179=4,"Yes","No"))</f>
        <v/>
      </c>
      <c r="K179" s="9" t="n"/>
      <c r="L179" s="8" t="n"/>
    </row>
    <row r="180">
      <c r="A180" s="9" t="n"/>
      <c r="B180" s="9" t="n"/>
      <c r="C180" s="9" t="n"/>
      <c r="D180" s="8" t="n"/>
      <c r="E180" s="9" t="n"/>
      <c r="F180" s="9" t="n"/>
      <c r="G180" s="9" t="n"/>
      <c r="H180" s="9" t="n"/>
      <c r="I180" s="9">
        <f>IF(COUNTIF(E180:H180,"Y")+COUNTIF(E180:H180,"N")=0,"",COUNTIF(E180:H180,"Y"))</f>
        <v/>
      </c>
      <c r="J180" s="9">
        <f>IF(I180="","",IF(I180=4,"Yes","No"))</f>
        <v/>
      </c>
      <c r="K180" s="9" t="n"/>
      <c r="L180" s="8" t="n"/>
    </row>
    <row r="181">
      <c r="A181" s="9" t="n"/>
      <c r="B181" s="9" t="n"/>
      <c r="C181" s="9" t="n"/>
      <c r="D181" s="8" t="n"/>
      <c r="E181" s="9" t="n"/>
      <c r="F181" s="9" t="n"/>
      <c r="G181" s="9" t="n"/>
      <c r="H181" s="9" t="n"/>
      <c r="I181" s="9">
        <f>IF(COUNTIF(E181:H181,"Y")+COUNTIF(E181:H181,"N")=0,"",COUNTIF(E181:H181,"Y"))</f>
        <v/>
      </c>
      <c r="J181" s="9">
        <f>IF(I181="","",IF(I181=4,"Yes","No"))</f>
        <v/>
      </c>
      <c r="K181" s="9" t="n"/>
      <c r="L181" s="8" t="n"/>
    </row>
    <row r="182">
      <c r="A182" s="9" t="n"/>
      <c r="B182" s="9" t="n"/>
      <c r="C182" s="9" t="n"/>
      <c r="D182" s="8" t="n"/>
      <c r="E182" s="9" t="n"/>
      <c r="F182" s="9" t="n"/>
      <c r="G182" s="9" t="n"/>
      <c r="H182" s="9" t="n"/>
      <c r="I182" s="9">
        <f>IF(COUNTIF(E182:H182,"Y")+COUNTIF(E182:H182,"N")=0,"",COUNTIF(E182:H182,"Y"))</f>
        <v/>
      </c>
      <c r="J182" s="9">
        <f>IF(I182="","",IF(I182=4,"Yes","No"))</f>
        <v/>
      </c>
      <c r="K182" s="9" t="n"/>
      <c r="L182" s="8" t="n"/>
    </row>
    <row r="183">
      <c r="A183" s="9" t="n"/>
      <c r="B183" s="9" t="n"/>
      <c r="C183" s="9" t="n"/>
      <c r="D183" s="8" t="n"/>
      <c r="E183" s="9" t="n"/>
      <c r="F183" s="9" t="n"/>
      <c r="G183" s="9" t="n"/>
      <c r="H183" s="9" t="n"/>
      <c r="I183" s="9">
        <f>IF(COUNTIF(E183:H183,"Y")+COUNTIF(E183:H183,"N")=0,"",COUNTIF(E183:H183,"Y"))</f>
        <v/>
      </c>
      <c r="J183" s="9">
        <f>IF(I183="","",IF(I183=4,"Yes","No"))</f>
        <v/>
      </c>
      <c r="K183" s="9" t="n"/>
      <c r="L183" s="8" t="n"/>
    </row>
    <row r="184">
      <c r="A184" s="9" t="n"/>
      <c r="B184" s="9" t="n"/>
      <c r="C184" s="9" t="n"/>
      <c r="D184" s="8" t="n"/>
      <c r="E184" s="9" t="n"/>
      <c r="F184" s="9" t="n"/>
      <c r="G184" s="9" t="n"/>
      <c r="H184" s="9" t="n"/>
      <c r="I184" s="9">
        <f>IF(COUNTIF(E184:H184,"Y")+COUNTIF(E184:H184,"N")=0,"",COUNTIF(E184:H184,"Y"))</f>
        <v/>
      </c>
      <c r="J184" s="9">
        <f>IF(I184="","",IF(I184=4,"Yes","No"))</f>
        <v/>
      </c>
      <c r="K184" s="9" t="n"/>
      <c r="L184" s="8" t="n"/>
    </row>
    <row r="185">
      <c r="A185" s="9" t="n"/>
      <c r="B185" s="9" t="n"/>
      <c r="C185" s="9" t="n"/>
      <c r="D185" s="8" t="n"/>
      <c r="E185" s="9" t="n"/>
      <c r="F185" s="9" t="n"/>
      <c r="G185" s="9" t="n"/>
      <c r="H185" s="9" t="n"/>
      <c r="I185" s="9">
        <f>IF(COUNTIF(E185:H185,"Y")+COUNTIF(E185:H185,"N")=0,"",COUNTIF(E185:H185,"Y"))</f>
        <v/>
      </c>
      <c r="J185" s="9">
        <f>IF(I185="","",IF(I185=4,"Yes","No"))</f>
        <v/>
      </c>
      <c r="K185" s="9" t="n"/>
      <c r="L185" s="8" t="n"/>
    </row>
    <row r="186">
      <c r="A186" s="9" t="n"/>
      <c r="B186" s="9" t="n"/>
      <c r="C186" s="9" t="n"/>
      <c r="D186" s="8" t="n"/>
      <c r="E186" s="9" t="n"/>
      <c r="F186" s="9" t="n"/>
      <c r="G186" s="9" t="n"/>
      <c r="H186" s="9" t="n"/>
      <c r="I186" s="9">
        <f>IF(COUNTIF(E186:H186,"Y")+COUNTIF(E186:H186,"N")=0,"",COUNTIF(E186:H186,"Y"))</f>
        <v/>
      </c>
      <c r="J186" s="9">
        <f>IF(I186="","",IF(I186=4,"Yes","No"))</f>
        <v/>
      </c>
      <c r="K186" s="9" t="n"/>
      <c r="L186" s="8" t="n"/>
    </row>
    <row r="187">
      <c r="A187" s="9" t="n"/>
      <c r="B187" s="9" t="n"/>
      <c r="C187" s="9" t="n"/>
      <c r="D187" s="8" t="n"/>
      <c r="E187" s="9" t="n"/>
      <c r="F187" s="9" t="n"/>
      <c r="G187" s="9" t="n"/>
      <c r="H187" s="9" t="n"/>
      <c r="I187" s="9">
        <f>IF(COUNTIF(E187:H187,"Y")+COUNTIF(E187:H187,"N")=0,"",COUNTIF(E187:H187,"Y"))</f>
        <v/>
      </c>
      <c r="J187" s="9">
        <f>IF(I187="","",IF(I187=4,"Yes","No"))</f>
        <v/>
      </c>
      <c r="K187" s="9" t="n"/>
      <c r="L187" s="8" t="n"/>
    </row>
    <row r="188">
      <c r="A188" s="9" t="n"/>
      <c r="B188" s="9" t="n"/>
      <c r="C188" s="9" t="n"/>
      <c r="D188" s="8" t="n"/>
      <c r="E188" s="9" t="n"/>
      <c r="F188" s="9" t="n"/>
      <c r="G188" s="9" t="n"/>
      <c r="H188" s="9" t="n"/>
      <c r="I188" s="9">
        <f>IF(COUNTIF(E188:H188,"Y")+COUNTIF(E188:H188,"N")=0,"",COUNTIF(E188:H188,"Y"))</f>
        <v/>
      </c>
      <c r="J188" s="9">
        <f>IF(I188="","",IF(I188=4,"Yes","No"))</f>
        <v/>
      </c>
      <c r="K188" s="9" t="n"/>
      <c r="L188" s="8" t="n"/>
    </row>
    <row r="189">
      <c r="A189" s="9" t="n"/>
      <c r="B189" s="9" t="n"/>
      <c r="C189" s="9" t="n"/>
      <c r="D189" s="8" t="n"/>
      <c r="E189" s="9" t="n"/>
      <c r="F189" s="9" t="n"/>
      <c r="G189" s="9" t="n"/>
      <c r="H189" s="9" t="n"/>
      <c r="I189" s="9">
        <f>IF(COUNTIF(E189:H189,"Y")+COUNTIF(E189:H189,"N")=0,"",COUNTIF(E189:H189,"Y"))</f>
        <v/>
      </c>
      <c r="J189" s="9">
        <f>IF(I189="","",IF(I189=4,"Yes","No"))</f>
        <v/>
      </c>
      <c r="K189" s="9" t="n"/>
      <c r="L189" s="8" t="n"/>
    </row>
    <row r="190">
      <c r="A190" s="9" t="n"/>
      <c r="B190" s="9" t="n"/>
      <c r="C190" s="9" t="n"/>
      <c r="D190" s="8" t="n"/>
      <c r="E190" s="9" t="n"/>
      <c r="F190" s="9" t="n"/>
      <c r="G190" s="9" t="n"/>
      <c r="H190" s="9" t="n"/>
      <c r="I190" s="9">
        <f>IF(COUNTIF(E190:H190,"Y")+COUNTIF(E190:H190,"N")=0,"",COUNTIF(E190:H190,"Y"))</f>
        <v/>
      </c>
      <c r="J190" s="9">
        <f>IF(I190="","",IF(I190=4,"Yes","No"))</f>
        <v/>
      </c>
      <c r="K190" s="9" t="n"/>
      <c r="L190" s="8" t="n"/>
    </row>
    <row r="191">
      <c r="A191" s="9" t="n"/>
      <c r="B191" s="9" t="n"/>
      <c r="C191" s="9" t="n"/>
      <c r="D191" s="8" t="n"/>
      <c r="E191" s="9" t="n"/>
      <c r="F191" s="9" t="n"/>
      <c r="G191" s="9" t="n"/>
      <c r="H191" s="9" t="n"/>
      <c r="I191" s="9">
        <f>IF(COUNTIF(E191:H191,"Y")+COUNTIF(E191:H191,"N")=0,"",COUNTIF(E191:H191,"Y"))</f>
        <v/>
      </c>
      <c r="J191" s="9">
        <f>IF(I191="","",IF(I191=4,"Yes","No"))</f>
        <v/>
      </c>
      <c r="K191" s="9" t="n"/>
      <c r="L191" s="8" t="n"/>
    </row>
    <row r="192">
      <c r="A192" s="9" t="n"/>
      <c r="B192" s="9" t="n"/>
      <c r="C192" s="9" t="n"/>
      <c r="D192" s="8" t="n"/>
      <c r="E192" s="9" t="n"/>
      <c r="F192" s="9" t="n"/>
      <c r="G192" s="9" t="n"/>
      <c r="H192" s="9" t="n"/>
      <c r="I192" s="9">
        <f>IF(COUNTIF(E192:H192,"Y")+COUNTIF(E192:H192,"N")=0,"",COUNTIF(E192:H192,"Y"))</f>
        <v/>
      </c>
      <c r="J192" s="9">
        <f>IF(I192="","",IF(I192=4,"Yes","No"))</f>
        <v/>
      </c>
      <c r="K192" s="9" t="n"/>
      <c r="L192" s="8" t="n"/>
    </row>
    <row r="193">
      <c r="A193" s="9" t="n"/>
      <c r="B193" s="9" t="n"/>
      <c r="C193" s="9" t="n"/>
      <c r="D193" s="8" t="n"/>
      <c r="E193" s="9" t="n"/>
      <c r="F193" s="9" t="n"/>
      <c r="G193" s="9" t="n"/>
      <c r="H193" s="9" t="n"/>
      <c r="I193" s="9">
        <f>IF(COUNTIF(E193:H193,"Y")+COUNTIF(E193:H193,"N")=0,"",COUNTIF(E193:H193,"Y"))</f>
        <v/>
      </c>
      <c r="J193" s="9">
        <f>IF(I193="","",IF(I193=4,"Yes","No"))</f>
        <v/>
      </c>
      <c r="K193" s="9" t="n"/>
      <c r="L193" s="8" t="n"/>
    </row>
    <row r="194">
      <c r="A194" s="9" t="n"/>
      <c r="B194" s="9" t="n"/>
      <c r="C194" s="9" t="n"/>
      <c r="D194" s="8" t="n"/>
      <c r="E194" s="9" t="n"/>
      <c r="F194" s="9" t="n"/>
      <c r="G194" s="9" t="n"/>
      <c r="H194" s="9" t="n"/>
      <c r="I194" s="9">
        <f>IF(COUNTIF(E194:H194,"Y")+COUNTIF(E194:H194,"N")=0,"",COUNTIF(E194:H194,"Y"))</f>
        <v/>
      </c>
      <c r="J194" s="9">
        <f>IF(I194="","",IF(I194=4,"Yes","No"))</f>
        <v/>
      </c>
      <c r="K194" s="9" t="n"/>
      <c r="L194" s="8" t="n"/>
    </row>
    <row r="195">
      <c r="A195" s="9" t="n"/>
      <c r="B195" s="9" t="n"/>
      <c r="C195" s="9" t="n"/>
      <c r="D195" s="8" t="n"/>
      <c r="E195" s="9" t="n"/>
      <c r="F195" s="9" t="n"/>
      <c r="G195" s="9" t="n"/>
      <c r="H195" s="9" t="n"/>
      <c r="I195" s="9">
        <f>IF(COUNTIF(E195:H195,"Y")+COUNTIF(E195:H195,"N")=0,"",COUNTIF(E195:H195,"Y"))</f>
        <v/>
      </c>
      <c r="J195" s="9">
        <f>IF(I195="","",IF(I195=4,"Yes","No"))</f>
        <v/>
      </c>
      <c r="K195" s="9" t="n"/>
      <c r="L195" s="8" t="n"/>
    </row>
    <row r="196">
      <c r="A196" s="9" t="n"/>
      <c r="B196" s="9" t="n"/>
      <c r="C196" s="9" t="n"/>
      <c r="D196" s="8" t="n"/>
      <c r="E196" s="9" t="n"/>
      <c r="F196" s="9" t="n"/>
      <c r="G196" s="9" t="n"/>
      <c r="H196" s="9" t="n"/>
      <c r="I196" s="9">
        <f>IF(COUNTIF(E196:H196,"Y")+COUNTIF(E196:H196,"N")=0,"",COUNTIF(E196:H196,"Y"))</f>
        <v/>
      </c>
      <c r="J196" s="9">
        <f>IF(I196="","",IF(I196=4,"Yes","No"))</f>
        <v/>
      </c>
      <c r="K196" s="9" t="n"/>
      <c r="L196" s="8" t="n"/>
    </row>
    <row r="197">
      <c r="A197" s="9" t="n"/>
      <c r="B197" s="9" t="n"/>
      <c r="C197" s="9" t="n"/>
      <c r="D197" s="8" t="n"/>
      <c r="E197" s="9" t="n"/>
      <c r="F197" s="9" t="n"/>
      <c r="G197" s="9" t="n"/>
      <c r="H197" s="9" t="n"/>
      <c r="I197" s="9">
        <f>IF(COUNTIF(E197:H197,"Y")+COUNTIF(E197:H197,"N")=0,"",COUNTIF(E197:H197,"Y"))</f>
        <v/>
      </c>
      <c r="J197" s="9">
        <f>IF(I197="","",IF(I197=4,"Yes","No"))</f>
        <v/>
      </c>
      <c r="K197" s="9" t="n"/>
      <c r="L197" s="8" t="n"/>
    </row>
    <row r="198">
      <c r="A198" s="9" t="n"/>
      <c r="B198" s="9" t="n"/>
      <c r="C198" s="9" t="n"/>
      <c r="D198" s="8" t="n"/>
      <c r="E198" s="9" t="n"/>
      <c r="F198" s="9" t="n"/>
      <c r="G198" s="9" t="n"/>
      <c r="H198" s="9" t="n"/>
      <c r="I198" s="9">
        <f>IF(COUNTIF(E198:H198,"Y")+COUNTIF(E198:H198,"N")=0,"",COUNTIF(E198:H198,"Y"))</f>
        <v/>
      </c>
      <c r="J198" s="9">
        <f>IF(I198="","",IF(I198=4,"Yes","No"))</f>
        <v/>
      </c>
      <c r="K198" s="9" t="n"/>
      <c r="L198" s="8" t="n"/>
    </row>
    <row r="199">
      <c r="A199" s="9" t="n"/>
      <c r="B199" s="9" t="n"/>
      <c r="C199" s="9" t="n"/>
      <c r="D199" s="8" t="n"/>
      <c r="E199" s="9" t="n"/>
      <c r="F199" s="9" t="n"/>
      <c r="G199" s="9" t="n"/>
      <c r="H199" s="9" t="n"/>
      <c r="I199" s="9">
        <f>IF(COUNTIF(E199:H199,"Y")+COUNTIF(E199:H199,"N")=0,"",COUNTIF(E199:H199,"Y"))</f>
        <v/>
      </c>
      <c r="J199" s="9">
        <f>IF(I199="","",IF(I199=4,"Yes","No"))</f>
        <v/>
      </c>
      <c r="K199" s="9" t="n"/>
      <c r="L199" s="8" t="n"/>
    </row>
    <row r="200">
      <c r="A200" s="9" t="n"/>
      <c r="B200" s="9" t="n"/>
      <c r="C200" s="9" t="n"/>
      <c r="D200" s="8" t="n"/>
      <c r="E200" s="9" t="n"/>
      <c r="F200" s="9" t="n"/>
      <c r="G200" s="9" t="n"/>
      <c r="H200" s="9" t="n"/>
      <c r="I200" s="9">
        <f>IF(COUNTIF(E200:H200,"Y")+COUNTIF(E200:H200,"N")=0,"",COUNTIF(E200:H200,"Y"))</f>
        <v/>
      </c>
      <c r="J200" s="9">
        <f>IF(I200="","",IF(I200=4,"Yes","No"))</f>
        <v/>
      </c>
      <c r="K200" s="9" t="n"/>
      <c r="L200" s="8" t="n"/>
    </row>
  </sheetData>
  <mergeCells count="2">
    <mergeCell ref="A2:L2"/>
    <mergeCell ref="A1:L1"/>
  </mergeCells>
  <conditionalFormatting sqref="J5:J200">
    <cfRule type="expression" priority="1" dxfId="1">
      <formula>$J5="Yes"</formula>
    </cfRule>
    <cfRule type="expression" priority="2" dxfId="3">
      <formula>$J5="No"</formula>
    </cfRule>
  </conditionalFormatting>
  <dataValidations count="2">
    <dataValidation sqref="E5:H200" showDropDown="0" showInputMessage="0" showErrorMessage="0" allowBlank="1" type="list">
      <formula1>"Y,N"</formula1>
    </dataValidation>
    <dataValidation sqref="K5:K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766E"/>
    <outlinePr summaryBelow="1" summaryRight="1"/>
    <pageSetUpPr/>
  </sheetPr>
  <dimension ref="A1:L20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20" customWidth="1" min="4" max="4"/>
    <col width="16" customWidth="1" min="5" max="5"/>
    <col width="20" customWidth="1" min="6" max="6"/>
    <col width="22" customWidth="1" min="7" max="7"/>
    <col width="20" customWidth="1" min="8" max="8"/>
    <col width="22" customWidth="1" min="9" max="9"/>
    <col width="12" customWidth="1" min="10" max="10"/>
    <col width="14" customWidth="1" min="11" max="11"/>
    <col width="12" customWidth="1" min="12" max="12"/>
  </cols>
  <sheetData>
    <row r="1" ht="30" customHeight="1">
      <c r="A1" s="1" t="inlineStr">
        <is>
          <t>HCC Capture &amp; RAF Impact</t>
        </is>
      </c>
    </row>
    <row r="2" ht="20" customHeight="1">
      <c r="A2" s="2" t="inlineStr">
        <is>
          <t>Track HCC recaptures, missed opportunities, and RAF delta by chart.</t>
        </is>
      </c>
    </row>
    <row r="4">
      <c r="A4" s="7" t="inlineStr">
        <is>
          <t>Provider ID</t>
        </is>
      </c>
      <c r="B4" s="7" t="inlineStr">
        <is>
          <t>Chart #</t>
        </is>
      </c>
      <c r="C4" s="7" t="inlineStr">
        <is>
          <t>Patient Age Band</t>
        </is>
      </c>
      <c r="D4" s="7" t="inlineStr">
        <is>
          <t>Payer</t>
        </is>
      </c>
      <c r="E4" s="7" t="inlineStr">
        <is>
          <t>Prior-Year HCCs</t>
        </is>
      </c>
      <c r="F4" s="7" t="inlineStr">
        <is>
          <t>Recaptured This Year</t>
        </is>
      </c>
      <c r="G4" s="7" t="inlineStr">
        <is>
          <t>Suspected Undocumented</t>
        </is>
      </c>
      <c r="H4" s="7" t="inlineStr">
        <is>
          <t>New HCCs Captured</t>
        </is>
      </c>
      <c r="I4" s="7" t="inlineStr">
        <is>
          <t>Missed HCC Opportunities</t>
        </is>
      </c>
      <c r="J4" s="7" t="inlineStr">
        <is>
          <t>Prior RAF</t>
        </is>
      </c>
      <c r="K4" s="7" t="inlineStr">
        <is>
          <t>Current RAF</t>
        </is>
      </c>
      <c r="L4" s="7" t="inlineStr">
        <is>
          <t>RAF Delta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>
        <f>IF(AND(J5&lt;&gt;"",K5&lt;&gt;""),ROUND(K5-J5,3),"")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>
        <f>IF(AND(J6&lt;&gt;"",K6&lt;&gt;""),ROUND(K6-J6,3),"")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>
        <f>IF(AND(J7&lt;&gt;"",K7&lt;&gt;""),ROUND(K7-J7,3),"")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>
        <f>IF(AND(J8&lt;&gt;"",K8&lt;&gt;""),ROUND(K8-J8,3),"")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>
        <f>IF(AND(J9&lt;&gt;"",K9&lt;&gt;""),ROUND(K9-J9,3),"")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>
        <f>IF(AND(J10&lt;&gt;"",K10&lt;&gt;""),ROUND(K10-J10,3),"")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>
        <f>IF(AND(J11&lt;&gt;"",K11&lt;&gt;""),ROUND(K11-J11,3),"")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>
        <f>IF(AND(J12&lt;&gt;"",K12&lt;&gt;""),ROUND(K12-J12,3),"")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>
        <f>IF(AND(J13&lt;&gt;"",K13&lt;&gt;""),ROUND(K13-J13,3),"")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>
        <f>IF(AND(J14&lt;&gt;"",K14&lt;&gt;""),ROUND(K14-J14,3),"")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>
        <f>IF(AND(J15&lt;&gt;"",K15&lt;&gt;""),ROUND(K15-J15,3),"")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>
        <f>IF(AND(J16&lt;&gt;"",K16&lt;&gt;""),ROUND(K16-J16,3),"")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>
        <f>IF(AND(J17&lt;&gt;"",K17&lt;&gt;""),ROUND(K17-J17,3),"")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>
        <f>IF(AND(J18&lt;&gt;"",K18&lt;&gt;""),ROUND(K18-J18,3),"")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>
        <f>IF(AND(J19&lt;&gt;"",K19&lt;&gt;""),ROUND(K19-J19,3),"")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>
        <f>IF(AND(J20&lt;&gt;"",K20&lt;&gt;""),ROUND(K20-J20,3),"")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>
        <f>IF(AND(J21&lt;&gt;"",K21&lt;&gt;""),ROUND(K21-J21,3),"")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>
        <f>IF(AND(J22&lt;&gt;"",K22&lt;&gt;""),ROUND(K22-J22,3),"")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>
        <f>IF(AND(J23&lt;&gt;"",K23&lt;&gt;""),ROUND(K23-J23,3),"")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>
        <f>IF(AND(J24&lt;&gt;"",K24&lt;&gt;""),ROUND(K24-J24,3),"")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>
        <f>IF(AND(J25&lt;&gt;"",K25&lt;&gt;""),ROUND(K25-J25,3),"")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>
        <f>IF(AND(J26&lt;&gt;"",K26&lt;&gt;""),ROUND(K26-J26,3),"")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>
        <f>IF(AND(J27&lt;&gt;"",K27&lt;&gt;""),ROUND(K27-J27,3),"")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>
        <f>IF(AND(J28&lt;&gt;"",K28&lt;&gt;""),ROUND(K28-J28,3),"")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>
        <f>IF(AND(J29&lt;&gt;"",K29&lt;&gt;""),ROUND(K29-J29,3),"")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>
        <f>IF(AND(J30&lt;&gt;"",K30&lt;&gt;""),ROUND(K30-J30,3),"")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>
        <f>IF(AND(J31&lt;&gt;"",K31&lt;&gt;""),ROUND(K31-J31,3),"")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>
        <f>IF(AND(J32&lt;&gt;"",K32&lt;&gt;""),ROUND(K32-J32,3),"")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>
        <f>IF(AND(J33&lt;&gt;"",K33&lt;&gt;""),ROUND(K33-J33,3),"")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>
        <f>IF(AND(J34&lt;&gt;"",K34&lt;&gt;""),ROUND(K34-J34,3),"")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>
        <f>IF(AND(J35&lt;&gt;"",K35&lt;&gt;""),ROUND(K35-J35,3),"")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>
        <f>IF(AND(J36&lt;&gt;"",K36&lt;&gt;""),ROUND(K36-J36,3),"")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>
        <f>IF(AND(J37&lt;&gt;"",K37&lt;&gt;""),ROUND(K37-J37,3),"")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>
        <f>IF(AND(J38&lt;&gt;"",K38&lt;&gt;""),ROUND(K38-J38,3),"")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>
        <f>IF(AND(J39&lt;&gt;"",K39&lt;&gt;""),ROUND(K39-J39,3),"")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>
        <f>IF(AND(J40&lt;&gt;"",K40&lt;&gt;""),ROUND(K40-J40,3),"")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>
        <f>IF(AND(J41&lt;&gt;"",K41&lt;&gt;""),ROUND(K41-J41,3),"")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>
        <f>IF(AND(J42&lt;&gt;"",K42&lt;&gt;""),ROUND(K42-J42,3),"")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>
        <f>IF(AND(J43&lt;&gt;"",K43&lt;&gt;""),ROUND(K43-J43,3),"")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>
        <f>IF(AND(J44&lt;&gt;"",K44&lt;&gt;""),ROUND(K44-J44,3),"")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>
        <f>IF(AND(J45&lt;&gt;"",K45&lt;&gt;""),ROUND(K45-J45,3),"")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>
        <f>IF(AND(J46&lt;&gt;"",K46&lt;&gt;""),ROUND(K46-J46,3),"")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>
        <f>IF(AND(J47&lt;&gt;"",K47&lt;&gt;""),ROUND(K47-J47,3),"")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>
        <f>IF(AND(J48&lt;&gt;"",K48&lt;&gt;""),ROUND(K48-J48,3),"")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>
        <f>IF(AND(J49&lt;&gt;"",K49&lt;&gt;""),ROUND(K49-J49,3),"")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>
        <f>IF(AND(J50&lt;&gt;"",K50&lt;&gt;""),ROUND(K50-J50,3),"")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>
        <f>IF(AND(J51&lt;&gt;"",K51&lt;&gt;""),ROUND(K51-J51,3),"")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>
        <f>IF(AND(J52&lt;&gt;"",K52&lt;&gt;""),ROUND(K52-J52,3),"")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>
        <f>IF(AND(J53&lt;&gt;"",K53&lt;&gt;""),ROUND(K53-J53,3),"")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>
        <f>IF(AND(J54&lt;&gt;"",K54&lt;&gt;""),ROUND(K54-J54,3),"")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>
        <f>IF(AND(J55&lt;&gt;"",K55&lt;&gt;""),ROUND(K55-J55,3),"")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>
        <f>IF(AND(J56&lt;&gt;"",K56&lt;&gt;""),ROUND(K56-J56,3),"")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>
        <f>IF(AND(J57&lt;&gt;"",K57&lt;&gt;""),ROUND(K57-J57,3),"")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>
        <f>IF(AND(J58&lt;&gt;"",K58&lt;&gt;""),ROUND(K58-J58,3),"")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>
        <f>IF(AND(J59&lt;&gt;"",K59&lt;&gt;""),ROUND(K59-J59,3),"")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>
        <f>IF(AND(J60&lt;&gt;"",K60&lt;&gt;""),ROUND(K60-J60,3),"")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>
        <f>IF(AND(J61&lt;&gt;"",K61&lt;&gt;""),ROUND(K61-J61,3),"")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>
        <f>IF(AND(J62&lt;&gt;"",K62&lt;&gt;""),ROUND(K62-J62,3),"")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>
        <f>IF(AND(J63&lt;&gt;"",K63&lt;&gt;""),ROUND(K63-J63,3),"")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>
        <f>IF(AND(J64&lt;&gt;"",K64&lt;&gt;""),ROUND(K64-J64,3),"")</f>
        <v/>
      </c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>
        <f>IF(AND(J65&lt;&gt;"",K65&lt;&gt;""),ROUND(K65-J65,3),"")</f>
        <v/>
      </c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>
        <f>IF(AND(J66&lt;&gt;"",K66&lt;&gt;""),ROUND(K66-J66,3),"")</f>
        <v/>
      </c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>
        <f>IF(AND(J67&lt;&gt;"",K67&lt;&gt;""),ROUND(K67-J67,3),"")</f>
        <v/>
      </c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>
        <f>IF(AND(J68&lt;&gt;"",K68&lt;&gt;""),ROUND(K68-J68,3),"")</f>
        <v/>
      </c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>
        <f>IF(AND(J69&lt;&gt;"",K69&lt;&gt;""),ROUND(K69-J69,3),"")</f>
        <v/>
      </c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>
        <f>IF(AND(J70&lt;&gt;"",K70&lt;&gt;""),ROUND(K70-J70,3),"")</f>
        <v/>
      </c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>
        <f>IF(AND(J71&lt;&gt;"",K71&lt;&gt;""),ROUND(K71-J71,3),"")</f>
        <v/>
      </c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>
        <f>IF(AND(J72&lt;&gt;"",K72&lt;&gt;""),ROUND(K72-J72,3),"")</f>
        <v/>
      </c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>
        <f>IF(AND(J73&lt;&gt;"",K73&lt;&gt;""),ROUND(K73-J73,3),"")</f>
        <v/>
      </c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>
        <f>IF(AND(J74&lt;&gt;"",K74&lt;&gt;""),ROUND(K74-J74,3),"")</f>
        <v/>
      </c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>
        <f>IF(AND(J75&lt;&gt;"",K75&lt;&gt;""),ROUND(K75-J75,3),"")</f>
        <v/>
      </c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>
        <f>IF(AND(J76&lt;&gt;"",K76&lt;&gt;""),ROUND(K76-J76,3),"")</f>
        <v/>
      </c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>
        <f>IF(AND(J77&lt;&gt;"",K77&lt;&gt;""),ROUND(K77-J77,3),"")</f>
        <v/>
      </c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>
        <f>IF(AND(J78&lt;&gt;"",K78&lt;&gt;""),ROUND(K78-J78,3),"")</f>
        <v/>
      </c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>
        <f>IF(AND(J79&lt;&gt;"",K79&lt;&gt;""),ROUND(K79-J79,3),"")</f>
        <v/>
      </c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>
        <f>IF(AND(J80&lt;&gt;"",K80&lt;&gt;""),ROUND(K80-J80,3),"")</f>
        <v/>
      </c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>
        <f>IF(AND(J81&lt;&gt;"",K81&lt;&gt;""),ROUND(K81-J81,3),"")</f>
        <v/>
      </c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>
        <f>IF(AND(J82&lt;&gt;"",K82&lt;&gt;""),ROUND(K82-J82,3),"")</f>
        <v/>
      </c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>
        <f>IF(AND(J83&lt;&gt;"",K83&lt;&gt;""),ROUND(K83-J83,3),"")</f>
        <v/>
      </c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>
        <f>IF(AND(J84&lt;&gt;"",K84&lt;&gt;""),ROUND(K84-J84,3),"")</f>
        <v/>
      </c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>
        <f>IF(AND(J85&lt;&gt;"",K85&lt;&gt;""),ROUND(K85-J85,3),"")</f>
        <v/>
      </c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>
        <f>IF(AND(J86&lt;&gt;"",K86&lt;&gt;""),ROUND(K86-J86,3),"")</f>
        <v/>
      </c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>
        <f>IF(AND(J87&lt;&gt;"",K87&lt;&gt;""),ROUND(K87-J87,3),"")</f>
        <v/>
      </c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>
        <f>IF(AND(J88&lt;&gt;"",K88&lt;&gt;""),ROUND(K88-J88,3),"")</f>
        <v/>
      </c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>
        <f>IF(AND(J89&lt;&gt;"",K89&lt;&gt;""),ROUND(K89-J89,3),"")</f>
        <v/>
      </c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>
        <f>IF(AND(J90&lt;&gt;"",K90&lt;&gt;""),ROUND(K90-J90,3),"")</f>
        <v/>
      </c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>
        <f>IF(AND(J91&lt;&gt;"",K91&lt;&gt;""),ROUND(K91-J91,3),"")</f>
        <v/>
      </c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>
        <f>IF(AND(J92&lt;&gt;"",K92&lt;&gt;""),ROUND(K92-J92,3),"")</f>
        <v/>
      </c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>
        <f>IF(AND(J93&lt;&gt;"",K93&lt;&gt;""),ROUND(K93-J93,3),"")</f>
        <v/>
      </c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>
        <f>IF(AND(J94&lt;&gt;"",K94&lt;&gt;""),ROUND(K94-J94,3),"")</f>
        <v/>
      </c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>
        <f>IF(AND(J95&lt;&gt;"",K95&lt;&gt;""),ROUND(K95-J95,3),"")</f>
        <v/>
      </c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>
        <f>IF(AND(J96&lt;&gt;"",K96&lt;&gt;""),ROUND(K96-J96,3),"")</f>
        <v/>
      </c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>
        <f>IF(AND(J97&lt;&gt;"",K97&lt;&gt;""),ROUND(K97-J97,3),"")</f>
        <v/>
      </c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>
        <f>IF(AND(J98&lt;&gt;"",K98&lt;&gt;""),ROUND(K98-J98,3),"")</f>
        <v/>
      </c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>
        <f>IF(AND(J99&lt;&gt;"",K99&lt;&gt;""),ROUND(K99-J99,3),"")</f>
        <v/>
      </c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>
        <f>IF(AND(J100&lt;&gt;"",K100&lt;&gt;""),ROUND(K100-J100,3),"")</f>
        <v/>
      </c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>
        <f>IF(AND(J101&lt;&gt;"",K101&lt;&gt;""),ROUND(K101-J101,3),"")</f>
        <v/>
      </c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>
        <f>IF(AND(J102&lt;&gt;"",K102&lt;&gt;""),ROUND(K102-J102,3),"")</f>
        <v/>
      </c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>
        <f>IF(AND(J103&lt;&gt;"",K103&lt;&gt;""),ROUND(K103-J103,3),"")</f>
        <v/>
      </c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>
        <f>IF(AND(J104&lt;&gt;"",K104&lt;&gt;""),ROUND(K104-J104,3),"")</f>
        <v/>
      </c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>
        <f>IF(AND(J105&lt;&gt;"",K105&lt;&gt;""),ROUND(K105-J105,3),"")</f>
        <v/>
      </c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>
        <f>IF(AND(J106&lt;&gt;"",K106&lt;&gt;""),ROUND(K106-J106,3),"")</f>
        <v/>
      </c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>
        <f>IF(AND(J107&lt;&gt;"",K107&lt;&gt;""),ROUND(K107-J107,3),"")</f>
        <v/>
      </c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>
        <f>IF(AND(J108&lt;&gt;"",K108&lt;&gt;""),ROUND(K108-J108,3),"")</f>
        <v/>
      </c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>
        <f>IF(AND(J109&lt;&gt;"",K109&lt;&gt;""),ROUND(K109-J109,3),"")</f>
        <v/>
      </c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>
        <f>IF(AND(J110&lt;&gt;"",K110&lt;&gt;""),ROUND(K110-J110,3),"")</f>
        <v/>
      </c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>
        <f>IF(AND(J111&lt;&gt;"",K111&lt;&gt;""),ROUND(K111-J111,3),"")</f>
        <v/>
      </c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>
        <f>IF(AND(J112&lt;&gt;"",K112&lt;&gt;""),ROUND(K112-J112,3),"")</f>
        <v/>
      </c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>
        <f>IF(AND(J113&lt;&gt;"",K113&lt;&gt;""),ROUND(K113-J113,3),"")</f>
        <v/>
      </c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>
        <f>IF(AND(J114&lt;&gt;"",K114&lt;&gt;""),ROUND(K114-J114,3),"")</f>
        <v/>
      </c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>
        <f>IF(AND(J115&lt;&gt;"",K115&lt;&gt;""),ROUND(K115-J115,3),"")</f>
        <v/>
      </c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>
        <f>IF(AND(J116&lt;&gt;"",K116&lt;&gt;""),ROUND(K116-J116,3),"")</f>
        <v/>
      </c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>
        <f>IF(AND(J117&lt;&gt;"",K117&lt;&gt;""),ROUND(K117-J117,3),"")</f>
        <v/>
      </c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>
        <f>IF(AND(J118&lt;&gt;"",K118&lt;&gt;""),ROUND(K118-J118,3),"")</f>
        <v/>
      </c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>
        <f>IF(AND(J119&lt;&gt;"",K119&lt;&gt;""),ROUND(K119-J119,3),"")</f>
        <v/>
      </c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>
        <f>IF(AND(J120&lt;&gt;"",K120&lt;&gt;""),ROUND(K120-J120,3),"")</f>
        <v/>
      </c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>
        <f>IF(AND(J121&lt;&gt;"",K121&lt;&gt;""),ROUND(K121-J121,3),"")</f>
        <v/>
      </c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>
        <f>IF(AND(J122&lt;&gt;"",K122&lt;&gt;""),ROUND(K122-J122,3),"")</f>
        <v/>
      </c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>
        <f>IF(AND(J123&lt;&gt;"",K123&lt;&gt;""),ROUND(K123-J123,3),"")</f>
        <v/>
      </c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>
        <f>IF(AND(J124&lt;&gt;"",K124&lt;&gt;""),ROUND(K124-J124,3),"")</f>
        <v/>
      </c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>
        <f>IF(AND(J125&lt;&gt;"",K125&lt;&gt;""),ROUND(K125-J125,3),"")</f>
        <v/>
      </c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>
        <f>IF(AND(J126&lt;&gt;"",K126&lt;&gt;""),ROUND(K126-J126,3),"")</f>
        <v/>
      </c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>
        <f>IF(AND(J127&lt;&gt;"",K127&lt;&gt;""),ROUND(K127-J127,3),"")</f>
        <v/>
      </c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>
        <f>IF(AND(J128&lt;&gt;"",K128&lt;&gt;""),ROUND(K128-J128,3),"")</f>
        <v/>
      </c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>
        <f>IF(AND(J129&lt;&gt;"",K129&lt;&gt;""),ROUND(K129-J129,3),"")</f>
        <v/>
      </c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>
        <f>IF(AND(J130&lt;&gt;"",K130&lt;&gt;""),ROUND(K130-J130,3),"")</f>
        <v/>
      </c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>
        <f>IF(AND(J131&lt;&gt;"",K131&lt;&gt;""),ROUND(K131-J131,3),"")</f>
        <v/>
      </c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>
        <f>IF(AND(J132&lt;&gt;"",K132&lt;&gt;""),ROUND(K132-J132,3),"")</f>
        <v/>
      </c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>
        <f>IF(AND(J133&lt;&gt;"",K133&lt;&gt;""),ROUND(K133-J133,3),"")</f>
        <v/>
      </c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>
        <f>IF(AND(J134&lt;&gt;"",K134&lt;&gt;""),ROUND(K134-J134,3),"")</f>
        <v/>
      </c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>
        <f>IF(AND(J135&lt;&gt;"",K135&lt;&gt;""),ROUND(K135-J135,3),"")</f>
        <v/>
      </c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>
        <f>IF(AND(J136&lt;&gt;"",K136&lt;&gt;""),ROUND(K136-J136,3),"")</f>
        <v/>
      </c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>
        <f>IF(AND(J137&lt;&gt;"",K137&lt;&gt;""),ROUND(K137-J137,3),"")</f>
        <v/>
      </c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>
        <f>IF(AND(J138&lt;&gt;"",K138&lt;&gt;""),ROUND(K138-J138,3),"")</f>
        <v/>
      </c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>
        <f>IF(AND(J139&lt;&gt;"",K139&lt;&gt;""),ROUND(K139-J139,3),"")</f>
        <v/>
      </c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>
        <f>IF(AND(J140&lt;&gt;"",K140&lt;&gt;""),ROUND(K140-J140,3),"")</f>
        <v/>
      </c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>
        <f>IF(AND(J141&lt;&gt;"",K141&lt;&gt;""),ROUND(K141-J141,3),"")</f>
        <v/>
      </c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>
        <f>IF(AND(J142&lt;&gt;"",K142&lt;&gt;""),ROUND(K142-J142,3),"")</f>
        <v/>
      </c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>
        <f>IF(AND(J143&lt;&gt;"",K143&lt;&gt;""),ROUND(K143-J143,3),"")</f>
        <v/>
      </c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>
        <f>IF(AND(J144&lt;&gt;"",K144&lt;&gt;""),ROUND(K144-J144,3),"")</f>
        <v/>
      </c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>
        <f>IF(AND(J145&lt;&gt;"",K145&lt;&gt;""),ROUND(K145-J145,3),"")</f>
        <v/>
      </c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>
        <f>IF(AND(J146&lt;&gt;"",K146&lt;&gt;""),ROUND(K146-J146,3),"")</f>
        <v/>
      </c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>
        <f>IF(AND(J147&lt;&gt;"",K147&lt;&gt;""),ROUND(K147-J147,3),"")</f>
        <v/>
      </c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>
        <f>IF(AND(J148&lt;&gt;"",K148&lt;&gt;""),ROUND(K148-J148,3),"")</f>
        <v/>
      </c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>
        <f>IF(AND(J149&lt;&gt;"",K149&lt;&gt;""),ROUND(K149-J149,3),"")</f>
        <v/>
      </c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>
        <f>IF(AND(J150&lt;&gt;"",K150&lt;&gt;""),ROUND(K150-J150,3),"")</f>
        <v/>
      </c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>
        <f>IF(AND(J151&lt;&gt;"",K151&lt;&gt;""),ROUND(K151-J151,3),"")</f>
        <v/>
      </c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>
        <f>IF(AND(J152&lt;&gt;"",K152&lt;&gt;""),ROUND(K152-J152,3),"")</f>
        <v/>
      </c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>
        <f>IF(AND(J153&lt;&gt;"",K153&lt;&gt;""),ROUND(K153-J153,3),"")</f>
        <v/>
      </c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>
        <f>IF(AND(J154&lt;&gt;"",K154&lt;&gt;""),ROUND(K154-J154,3),"")</f>
        <v/>
      </c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>
        <f>IF(AND(J155&lt;&gt;"",K155&lt;&gt;""),ROUND(K155-J155,3),"")</f>
        <v/>
      </c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>
        <f>IF(AND(J156&lt;&gt;"",K156&lt;&gt;""),ROUND(K156-J156,3),"")</f>
        <v/>
      </c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>
        <f>IF(AND(J157&lt;&gt;"",K157&lt;&gt;""),ROUND(K157-J157,3),"")</f>
        <v/>
      </c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>
        <f>IF(AND(J158&lt;&gt;"",K158&lt;&gt;""),ROUND(K158-J158,3),"")</f>
        <v/>
      </c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>
        <f>IF(AND(J159&lt;&gt;"",K159&lt;&gt;""),ROUND(K159-J159,3),"")</f>
        <v/>
      </c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>
        <f>IF(AND(J160&lt;&gt;"",K160&lt;&gt;""),ROUND(K160-J160,3),"")</f>
        <v/>
      </c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>
        <f>IF(AND(J161&lt;&gt;"",K161&lt;&gt;""),ROUND(K161-J161,3),"")</f>
        <v/>
      </c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>
        <f>IF(AND(J162&lt;&gt;"",K162&lt;&gt;""),ROUND(K162-J162,3),"")</f>
        <v/>
      </c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>
        <f>IF(AND(J163&lt;&gt;"",K163&lt;&gt;""),ROUND(K163-J163,3),"")</f>
        <v/>
      </c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>
        <f>IF(AND(J164&lt;&gt;"",K164&lt;&gt;""),ROUND(K164-J164,3),"")</f>
        <v/>
      </c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>
        <f>IF(AND(J165&lt;&gt;"",K165&lt;&gt;""),ROUND(K165-J165,3),"")</f>
        <v/>
      </c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>
        <f>IF(AND(J166&lt;&gt;"",K166&lt;&gt;""),ROUND(K166-J166,3),"")</f>
        <v/>
      </c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>
        <f>IF(AND(J167&lt;&gt;"",K167&lt;&gt;""),ROUND(K167-J167,3),"")</f>
        <v/>
      </c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>
        <f>IF(AND(J168&lt;&gt;"",K168&lt;&gt;""),ROUND(K168-J168,3),"")</f>
        <v/>
      </c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>
        <f>IF(AND(J169&lt;&gt;"",K169&lt;&gt;""),ROUND(K169-J169,3),"")</f>
        <v/>
      </c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>
        <f>IF(AND(J170&lt;&gt;"",K170&lt;&gt;""),ROUND(K170-J170,3),"")</f>
        <v/>
      </c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>
        <f>IF(AND(J171&lt;&gt;"",K171&lt;&gt;""),ROUND(K171-J171,3),"")</f>
        <v/>
      </c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>
        <f>IF(AND(J172&lt;&gt;"",K172&lt;&gt;""),ROUND(K172-J172,3),"")</f>
        <v/>
      </c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>
        <f>IF(AND(J173&lt;&gt;"",K173&lt;&gt;""),ROUND(K173-J173,3),"")</f>
        <v/>
      </c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>
        <f>IF(AND(J174&lt;&gt;"",K174&lt;&gt;""),ROUND(K174-J174,3),"")</f>
        <v/>
      </c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>
        <f>IF(AND(J175&lt;&gt;"",K175&lt;&gt;""),ROUND(K175-J175,3),"")</f>
        <v/>
      </c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>
        <f>IF(AND(J176&lt;&gt;"",K176&lt;&gt;""),ROUND(K176-J176,3),"")</f>
        <v/>
      </c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>
        <f>IF(AND(J177&lt;&gt;"",K177&lt;&gt;""),ROUND(K177-J177,3),"")</f>
        <v/>
      </c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>
        <f>IF(AND(J178&lt;&gt;"",K178&lt;&gt;""),ROUND(K178-J178,3),"")</f>
        <v/>
      </c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>
        <f>IF(AND(J179&lt;&gt;"",K179&lt;&gt;""),ROUND(K179-J179,3),"")</f>
        <v/>
      </c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>
        <f>IF(AND(J180&lt;&gt;"",K180&lt;&gt;""),ROUND(K180-J180,3),"")</f>
        <v/>
      </c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>
        <f>IF(AND(J181&lt;&gt;"",K181&lt;&gt;""),ROUND(K181-J181,3),"")</f>
        <v/>
      </c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>
        <f>IF(AND(J182&lt;&gt;"",K182&lt;&gt;""),ROUND(K182-J182,3),"")</f>
        <v/>
      </c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>
        <f>IF(AND(J183&lt;&gt;"",K183&lt;&gt;""),ROUND(K183-J183,3),"")</f>
        <v/>
      </c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>
        <f>IF(AND(J184&lt;&gt;"",K184&lt;&gt;""),ROUND(K184-J184,3),"")</f>
        <v/>
      </c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>
        <f>IF(AND(J185&lt;&gt;"",K185&lt;&gt;""),ROUND(K185-J185,3),"")</f>
        <v/>
      </c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>
        <f>IF(AND(J186&lt;&gt;"",K186&lt;&gt;""),ROUND(K186-J186,3),"")</f>
        <v/>
      </c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>
        <f>IF(AND(J187&lt;&gt;"",K187&lt;&gt;""),ROUND(K187-J187,3),"")</f>
        <v/>
      </c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>
        <f>IF(AND(J188&lt;&gt;"",K188&lt;&gt;""),ROUND(K188-J188,3),"")</f>
        <v/>
      </c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>
        <f>IF(AND(J189&lt;&gt;"",K189&lt;&gt;""),ROUND(K189-J189,3),"")</f>
        <v/>
      </c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>
        <f>IF(AND(J190&lt;&gt;"",K190&lt;&gt;""),ROUND(K190-J190,3),"")</f>
        <v/>
      </c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>
        <f>IF(AND(J191&lt;&gt;"",K191&lt;&gt;""),ROUND(K191-J191,3),"")</f>
        <v/>
      </c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>
        <f>IF(AND(J192&lt;&gt;"",K192&lt;&gt;""),ROUND(K192-J192,3),"")</f>
        <v/>
      </c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>
        <f>IF(AND(J193&lt;&gt;"",K193&lt;&gt;""),ROUND(K193-J193,3),"")</f>
        <v/>
      </c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>
        <f>IF(AND(J194&lt;&gt;"",K194&lt;&gt;""),ROUND(K194-J194,3),"")</f>
        <v/>
      </c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>
        <f>IF(AND(J195&lt;&gt;"",K195&lt;&gt;""),ROUND(K195-J195,3),"")</f>
        <v/>
      </c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>
        <f>IF(AND(J196&lt;&gt;"",K196&lt;&gt;""),ROUND(K196-J196,3),"")</f>
        <v/>
      </c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>
        <f>IF(AND(J197&lt;&gt;"",K197&lt;&gt;""),ROUND(K197-J197,3),"")</f>
        <v/>
      </c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>
        <f>IF(AND(J198&lt;&gt;"",K198&lt;&gt;""),ROUND(K198-J198,3),"")</f>
        <v/>
      </c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>
        <f>IF(AND(J199&lt;&gt;"",K199&lt;&gt;""),ROUND(K199-J199,3),"")</f>
        <v/>
      </c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>
        <f>IF(AND(J200&lt;&gt;"",K200&lt;&gt;""),ROUND(K200-J200,3),"")</f>
        <v/>
      </c>
    </row>
  </sheetData>
  <mergeCells count="2">
    <mergeCell ref="A2:L2"/>
    <mergeCell ref="A1:L1"/>
  </mergeCells>
  <conditionalFormatting sqref="L5:L200">
    <cfRule type="cellIs" priority="1" operator="greaterThan" dxfId="1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766E"/>
    <outlinePr summaryBelow="1" summaryRight="1"/>
    <pageSetUpPr/>
  </sheetPr>
  <dimension ref="A1:J20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18" customWidth="1" min="4" max="4"/>
    <col width="18" customWidth="1" min="5" max="5"/>
    <col width="14" customWidth="1" min="6" max="6"/>
    <col width="24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1" t="inlineStr">
        <is>
          <t>CPT II Reporting Compliance</t>
        </is>
      </c>
    </row>
    <row r="2" ht="20" customHeight="1">
      <c r="A2" s="2" t="inlineStr">
        <is>
          <t>Quality measures — was the CPT II code reported when the measure was in play?</t>
        </is>
      </c>
    </row>
    <row r="4">
      <c r="A4" s="7" t="inlineStr">
        <is>
          <t>Provider ID</t>
        </is>
      </c>
      <c r="B4" s="7" t="inlineStr">
        <is>
          <t>Chart #</t>
        </is>
      </c>
      <c r="C4" s="7" t="inlineStr">
        <is>
          <t>Measure</t>
        </is>
      </c>
      <c r="D4" s="7" t="inlineStr">
        <is>
          <t>Measure Applicable? (Y/N)</t>
        </is>
      </c>
      <c r="E4" s="7" t="inlineStr">
        <is>
          <t>CPT II Reported? (Y/N)</t>
        </is>
      </c>
      <c r="F4" s="7" t="inlineStr">
        <is>
          <t>CPT II Code</t>
        </is>
      </c>
      <c r="G4" s="7" t="inlineStr">
        <is>
          <t>Reason Code (if not reported)</t>
        </is>
      </c>
      <c r="H4" s="7" t="inlineStr">
        <is>
          <t>Gap Identified?</t>
        </is>
      </c>
      <c r="I4" s="7" t="inlineStr">
        <is>
          <t>Compliant?</t>
        </is>
      </c>
      <c r="J4" s="7" t="inlineStr">
        <is>
          <t>Notes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>
        <f>IF(OR(D5="",E5=""),"",IF(AND(D5="Y",E5="N"),"Yes","No"))</f>
        <v/>
      </c>
      <c r="I5" s="9">
        <f>IF(OR(D5="",E5=""),"",IF(OR(D5="N",E5="Y"),"Yes","No"))</f>
        <v/>
      </c>
      <c r="J5" s="9" t="n"/>
    </row>
    <row r="6">
      <c r="A6" s="9" t="n"/>
      <c r="B6" s="9" t="n"/>
      <c r="C6" s="9" t="n"/>
      <c r="D6" s="9" t="n"/>
      <c r="E6" s="9" t="n"/>
      <c r="F6" s="9" t="n"/>
      <c r="G6" s="9" t="n"/>
      <c r="H6" s="9">
        <f>IF(OR(D6="",E6=""),"",IF(AND(D6="Y",E6="N"),"Yes","No"))</f>
        <v/>
      </c>
      <c r="I6" s="9">
        <f>IF(OR(D6="",E6=""),"",IF(OR(D6="N",E6="Y"),"Yes","No"))</f>
        <v/>
      </c>
      <c r="J6" s="9" t="n"/>
    </row>
    <row r="7">
      <c r="A7" s="9" t="n"/>
      <c r="B7" s="9" t="n"/>
      <c r="C7" s="9" t="n"/>
      <c r="D7" s="9" t="n"/>
      <c r="E7" s="9" t="n"/>
      <c r="F7" s="9" t="n"/>
      <c r="G7" s="9" t="n"/>
      <c r="H7" s="9">
        <f>IF(OR(D7="",E7=""),"",IF(AND(D7="Y",E7="N"),"Yes","No"))</f>
        <v/>
      </c>
      <c r="I7" s="9">
        <f>IF(OR(D7="",E7=""),"",IF(OR(D7="N",E7="Y"),"Yes","No"))</f>
        <v/>
      </c>
      <c r="J7" s="9" t="n"/>
    </row>
    <row r="8">
      <c r="A8" s="9" t="n"/>
      <c r="B8" s="9" t="n"/>
      <c r="C8" s="9" t="n"/>
      <c r="D8" s="9" t="n"/>
      <c r="E8" s="9" t="n"/>
      <c r="F8" s="9" t="n"/>
      <c r="G8" s="9" t="n"/>
      <c r="H8" s="9">
        <f>IF(OR(D8="",E8=""),"",IF(AND(D8="Y",E8="N"),"Yes","No"))</f>
        <v/>
      </c>
      <c r="I8" s="9">
        <f>IF(OR(D8="",E8=""),"",IF(OR(D8="N",E8="Y"),"Yes","No"))</f>
        <v/>
      </c>
      <c r="J8" s="9" t="n"/>
    </row>
    <row r="9">
      <c r="A9" s="9" t="n"/>
      <c r="B9" s="9" t="n"/>
      <c r="C9" s="9" t="n"/>
      <c r="D9" s="9" t="n"/>
      <c r="E9" s="9" t="n"/>
      <c r="F9" s="9" t="n"/>
      <c r="G9" s="9" t="n"/>
      <c r="H9" s="9">
        <f>IF(OR(D9="",E9=""),"",IF(AND(D9="Y",E9="N"),"Yes","No"))</f>
        <v/>
      </c>
      <c r="I9" s="9">
        <f>IF(OR(D9="",E9=""),"",IF(OR(D9="N",E9="Y"),"Yes","No"))</f>
        <v/>
      </c>
      <c r="J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>
        <f>IF(OR(D10="",E10=""),"",IF(AND(D10="Y",E10="N"),"Yes","No"))</f>
        <v/>
      </c>
      <c r="I10" s="9">
        <f>IF(OR(D10="",E10=""),"",IF(OR(D10="N",E10="Y"),"Yes","No"))</f>
        <v/>
      </c>
      <c r="J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>
        <f>IF(OR(D11="",E11=""),"",IF(AND(D11="Y",E11="N"),"Yes","No"))</f>
        <v/>
      </c>
      <c r="I11" s="9">
        <f>IF(OR(D11="",E11=""),"",IF(OR(D11="N",E11="Y"),"Yes","No"))</f>
        <v/>
      </c>
      <c r="J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>
        <f>IF(OR(D12="",E12=""),"",IF(AND(D12="Y",E12="N"),"Yes","No"))</f>
        <v/>
      </c>
      <c r="I12" s="9">
        <f>IF(OR(D12="",E12=""),"",IF(OR(D12="N",E12="Y"),"Yes","No"))</f>
        <v/>
      </c>
      <c r="J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>
        <f>IF(OR(D13="",E13=""),"",IF(AND(D13="Y",E13="N"),"Yes","No"))</f>
        <v/>
      </c>
      <c r="I13" s="9">
        <f>IF(OR(D13="",E13=""),"",IF(OR(D13="N",E13="Y"),"Yes","No"))</f>
        <v/>
      </c>
      <c r="J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>
        <f>IF(OR(D14="",E14=""),"",IF(AND(D14="Y",E14="N"),"Yes","No"))</f>
        <v/>
      </c>
      <c r="I14" s="9">
        <f>IF(OR(D14="",E14=""),"",IF(OR(D14="N",E14="Y"),"Yes","No"))</f>
        <v/>
      </c>
      <c r="J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>
        <f>IF(OR(D15="",E15=""),"",IF(AND(D15="Y",E15="N"),"Yes","No"))</f>
        <v/>
      </c>
      <c r="I15" s="9">
        <f>IF(OR(D15="",E15=""),"",IF(OR(D15="N",E15="Y"),"Yes","No"))</f>
        <v/>
      </c>
      <c r="J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>
        <f>IF(OR(D16="",E16=""),"",IF(AND(D16="Y",E16="N"),"Yes","No"))</f>
        <v/>
      </c>
      <c r="I16" s="9">
        <f>IF(OR(D16="",E16=""),"",IF(OR(D16="N",E16="Y"),"Yes","No"))</f>
        <v/>
      </c>
      <c r="J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>
        <f>IF(OR(D17="",E17=""),"",IF(AND(D17="Y",E17="N"),"Yes","No"))</f>
        <v/>
      </c>
      <c r="I17" s="9">
        <f>IF(OR(D17="",E17=""),"",IF(OR(D17="N",E17="Y"),"Yes","No"))</f>
        <v/>
      </c>
      <c r="J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>
        <f>IF(OR(D18="",E18=""),"",IF(AND(D18="Y",E18="N"),"Yes","No"))</f>
        <v/>
      </c>
      <c r="I18" s="9">
        <f>IF(OR(D18="",E18=""),"",IF(OR(D18="N",E18="Y"),"Yes","No"))</f>
        <v/>
      </c>
      <c r="J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>
        <f>IF(OR(D19="",E19=""),"",IF(AND(D19="Y",E19="N"),"Yes","No"))</f>
        <v/>
      </c>
      <c r="I19" s="9">
        <f>IF(OR(D19="",E19=""),"",IF(OR(D19="N",E19="Y"),"Yes","No"))</f>
        <v/>
      </c>
      <c r="J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>
        <f>IF(OR(D20="",E20=""),"",IF(AND(D20="Y",E20="N"),"Yes","No"))</f>
        <v/>
      </c>
      <c r="I20" s="9">
        <f>IF(OR(D20="",E20=""),"",IF(OR(D20="N",E20="Y"),"Yes","No"))</f>
        <v/>
      </c>
      <c r="J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>
        <f>IF(OR(D21="",E21=""),"",IF(AND(D21="Y",E21="N"),"Yes","No"))</f>
        <v/>
      </c>
      <c r="I21" s="9">
        <f>IF(OR(D21="",E21=""),"",IF(OR(D21="N",E21="Y"),"Yes","No"))</f>
        <v/>
      </c>
      <c r="J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>
        <f>IF(OR(D22="",E22=""),"",IF(AND(D22="Y",E22="N"),"Yes","No"))</f>
        <v/>
      </c>
      <c r="I22" s="9">
        <f>IF(OR(D22="",E22=""),"",IF(OR(D22="N",E22="Y"),"Yes","No"))</f>
        <v/>
      </c>
      <c r="J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>
        <f>IF(OR(D23="",E23=""),"",IF(AND(D23="Y",E23="N"),"Yes","No"))</f>
        <v/>
      </c>
      <c r="I23" s="9">
        <f>IF(OR(D23="",E23=""),"",IF(OR(D23="N",E23="Y"),"Yes","No"))</f>
        <v/>
      </c>
      <c r="J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>
        <f>IF(OR(D24="",E24=""),"",IF(AND(D24="Y",E24="N"),"Yes","No"))</f>
        <v/>
      </c>
      <c r="I24" s="9">
        <f>IF(OR(D24="",E24=""),"",IF(OR(D24="N",E24="Y"),"Yes","No"))</f>
        <v/>
      </c>
      <c r="J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>
        <f>IF(OR(D25="",E25=""),"",IF(AND(D25="Y",E25="N"),"Yes","No"))</f>
        <v/>
      </c>
      <c r="I25" s="9">
        <f>IF(OR(D25="",E25=""),"",IF(OR(D25="N",E25="Y"),"Yes","No"))</f>
        <v/>
      </c>
      <c r="J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>
        <f>IF(OR(D26="",E26=""),"",IF(AND(D26="Y",E26="N"),"Yes","No"))</f>
        <v/>
      </c>
      <c r="I26" s="9">
        <f>IF(OR(D26="",E26=""),"",IF(OR(D26="N",E26="Y"),"Yes","No"))</f>
        <v/>
      </c>
      <c r="J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>
        <f>IF(OR(D27="",E27=""),"",IF(AND(D27="Y",E27="N"),"Yes","No"))</f>
        <v/>
      </c>
      <c r="I27" s="9">
        <f>IF(OR(D27="",E27=""),"",IF(OR(D27="N",E27="Y"),"Yes","No"))</f>
        <v/>
      </c>
      <c r="J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>
        <f>IF(OR(D28="",E28=""),"",IF(AND(D28="Y",E28="N"),"Yes","No"))</f>
        <v/>
      </c>
      <c r="I28" s="9">
        <f>IF(OR(D28="",E28=""),"",IF(OR(D28="N",E28="Y"),"Yes","No"))</f>
        <v/>
      </c>
      <c r="J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>
        <f>IF(OR(D29="",E29=""),"",IF(AND(D29="Y",E29="N"),"Yes","No"))</f>
        <v/>
      </c>
      <c r="I29" s="9">
        <f>IF(OR(D29="",E29=""),"",IF(OR(D29="N",E29="Y"),"Yes","No"))</f>
        <v/>
      </c>
      <c r="J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>
        <f>IF(OR(D30="",E30=""),"",IF(AND(D30="Y",E30="N"),"Yes","No"))</f>
        <v/>
      </c>
      <c r="I30" s="9">
        <f>IF(OR(D30="",E30=""),"",IF(OR(D30="N",E30="Y"),"Yes","No"))</f>
        <v/>
      </c>
      <c r="J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>
        <f>IF(OR(D31="",E31=""),"",IF(AND(D31="Y",E31="N"),"Yes","No"))</f>
        <v/>
      </c>
      <c r="I31" s="9">
        <f>IF(OR(D31="",E31=""),"",IF(OR(D31="N",E31="Y"),"Yes","No"))</f>
        <v/>
      </c>
      <c r="J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>
        <f>IF(OR(D32="",E32=""),"",IF(AND(D32="Y",E32="N"),"Yes","No"))</f>
        <v/>
      </c>
      <c r="I32" s="9">
        <f>IF(OR(D32="",E32=""),"",IF(OR(D32="N",E32="Y"),"Yes","No"))</f>
        <v/>
      </c>
      <c r="J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>
        <f>IF(OR(D33="",E33=""),"",IF(AND(D33="Y",E33="N"),"Yes","No"))</f>
        <v/>
      </c>
      <c r="I33" s="9">
        <f>IF(OR(D33="",E33=""),"",IF(OR(D33="N",E33="Y"),"Yes","No"))</f>
        <v/>
      </c>
      <c r="J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>
        <f>IF(OR(D34="",E34=""),"",IF(AND(D34="Y",E34="N"),"Yes","No"))</f>
        <v/>
      </c>
      <c r="I34" s="9">
        <f>IF(OR(D34="",E34=""),"",IF(OR(D34="N",E34="Y"),"Yes","No"))</f>
        <v/>
      </c>
      <c r="J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>
        <f>IF(OR(D35="",E35=""),"",IF(AND(D35="Y",E35="N"),"Yes","No"))</f>
        <v/>
      </c>
      <c r="I35" s="9">
        <f>IF(OR(D35="",E35=""),"",IF(OR(D35="N",E35="Y"),"Yes","No"))</f>
        <v/>
      </c>
      <c r="J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>
        <f>IF(OR(D36="",E36=""),"",IF(AND(D36="Y",E36="N"),"Yes","No"))</f>
        <v/>
      </c>
      <c r="I36" s="9">
        <f>IF(OR(D36="",E36=""),"",IF(OR(D36="N",E36="Y"),"Yes","No"))</f>
        <v/>
      </c>
      <c r="J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>
        <f>IF(OR(D37="",E37=""),"",IF(AND(D37="Y",E37="N"),"Yes","No"))</f>
        <v/>
      </c>
      <c r="I37" s="9">
        <f>IF(OR(D37="",E37=""),"",IF(OR(D37="N",E37="Y"),"Yes","No"))</f>
        <v/>
      </c>
      <c r="J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>
        <f>IF(OR(D38="",E38=""),"",IF(AND(D38="Y",E38="N"),"Yes","No"))</f>
        <v/>
      </c>
      <c r="I38" s="9">
        <f>IF(OR(D38="",E38=""),"",IF(OR(D38="N",E38="Y"),"Yes","No"))</f>
        <v/>
      </c>
      <c r="J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>
        <f>IF(OR(D39="",E39=""),"",IF(AND(D39="Y",E39="N"),"Yes","No"))</f>
        <v/>
      </c>
      <c r="I39" s="9">
        <f>IF(OR(D39="",E39=""),"",IF(OR(D39="N",E39="Y"),"Yes","No"))</f>
        <v/>
      </c>
      <c r="J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>
        <f>IF(OR(D40="",E40=""),"",IF(AND(D40="Y",E40="N"),"Yes","No"))</f>
        <v/>
      </c>
      <c r="I40" s="9">
        <f>IF(OR(D40="",E40=""),"",IF(OR(D40="N",E40="Y"),"Yes","No"))</f>
        <v/>
      </c>
      <c r="J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>
        <f>IF(OR(D41="",E41=""),"",IF(AND(D41="Y",E41="N"),"Yes","No"))</f>
        <v/>
      </c>
      <c r="I41" s="9">
        <f>IF(OR(D41="",E41=""),"",IF(OR(D41="N",E41="Y"),"Yes","No"))</f>
        <v/>
      </c>
      <c r="J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>
        <f>IF(OR(D42="",E42=""),"",IF(AND(D42="Y",E42="N"),"Yes","No"))</f>
        <v/>
      </c>
      <c r="I42" s="9">
        <f>IF(OR(D42="",E42=""),"",IF(OR(D42="N",E42="Y"),"Yes","No"))</f>
        <v/>
      </c>
      <c r="J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>
        <f>IF(OR(D43="",E43=""),"",IF(AND(D43="Y",E43="N"),"Yes","No"))</f>
        <v/>
      </c>
      <c r="I43" s="9">
        <f>IF(OR(D43="",E43=""),"",IF(OR(D43="N",E43="Y"),"Yes","No"))</f>
        <v/>
      </c>
      <c r="J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>
        <f>IF(OR(D44="",E44=""),"",IF(AND(D44="Y",E44="N"),"Yes","No"))</f>
        <v/>
      </c>
      <c r="I44" s="9">
        <f>IF(OR(D44="",E44=""),"",IF(OR(D44="N",E44="Y"),"Yes","No"))</f>
        <v/>
      </c>
      <c r="J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>
        <f>IF(OR(D45="",E45=""),"",IF(AND(D45="Y",E45="N"),"Yes","No"))</f>
        <v/>
      </c>
      <c r="I45" s="9">
        <f>IF(OR(D45="",E45=""),"",IF(OR(D45="N",E45="Y"),"Yes","No"))</f>
        <v/>
      </c>
      <c r="J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>
        <f>IF(OR(D46="",E46=""),"",IF(AND(D46="Y",E46="N"),"Yes","No"))</f>
        <v/>
      </c>
      <c r="I46" s="9">
        <f>IF(OR(D46="",E46=""),"",IF(OR(D46="N",E46="Y"),"Yes","No"))</f>
        <v/>
      </c>
      <c r="J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>
        <f>IF(OR(D47="",E47=""),"",IF(AND(D47="Y",E47="N"),"Yes","No"))</f>
        <v/>
      </c>
      <c r="I47" s="9">
        <f>IF(OR(D47="",E47=""),"",IF(OR(D47="N",E47="Y"),"Yes","No"))</f>
        <v/>
      </c>
      <c r="J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>
        <f>IF(OR(D48="",E48=""),"",IF(AND(D48="Y",E48="N"),"Yes","No"))</f>
        <v/>
      </c>
      <c r="I48" s="9">
        <f>IF(OR(D48="",E48=""),"",IF(OR(D48="N",E48="Y"),"Yes","No"))</f>
        <v/>
      </c>
      <c r="J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>
        <f>IF(OR(D49="",E49=""),"",IF(AND(D49="Y",E49="N"),"Yes","No"))</f>
        <v/>
      </c>
      <c r="I49" s="9">
        <f>IF(OR(D49="",E49=""),"",IF(OR(D49="N",E49="Y"),"Yes","No"))</f>
        <v/>
      </c>
      <c r="J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>
        <f>IF(OR(D50="",E50=""),"",IF(AND(D50="Y",E50="N"),"Yes","No"))</f>
        <v/>
      </c>
      <c r="I50" s="9">
        <f>IF(OR(D50="",E50=""),"",IF(OR(D50="N",E50="Y"),"Yes","No"))</f>
        <v/>
      </c>
      <c r="J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>
        <f>IF(OR(D51="",E51=""),"",IF(AND(D51="Y",E51="N"),"Yes","No"))</f>
        <v/>
      </c>
      <c r="I51" s="9">
        <f>IF(OR(D51="",E51=""),"",IF(OR(D51="N",E51="Y"),"Yes","No"))</f>
        <v/>
      </c>
      <c r="J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>
        <f>IF(OR(D52="",E52=""),"",IF(AND(D52="Y",E52="N"),"Yes","No"))</f>
        <v/>
      </c>
      <c r="I52" s="9">
        <f>IF(OR(D52="",E52=""),"",IF(OR(D52="N",E52="Y"),"Yes","No"))</f>
        <v/>
      </c>
      <c r="J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>
        <f>IF(OR(D53="",E53=""),"",IF(AND(D53="Y",E53="N"),"Yes","No"))</f>
        <v/>
      </c>
      <c r="I53" s="9">
        <f>IF(OR(D53="",E53=""),"",IF(OR(D53="N",E53="Y"),"Yes","No"))</f>
        <v/>
      </c>
      <c r="J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>
        <f>IF(OR(D54="",E54=""),"",IF(AND(D54="Y",E54="N"),"Yes","No"))</f>
        <v/>
      </c>
      <c r="I54" s="9">
        <f>IF(OR(D54="",E54=""),"",IF(OR(D54="N",E54="Y"),"Yes","No"))</f>
        <v/>
      </c>
      <c r="J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>
        <f>IF(OR(D55="",E55=""),"",IF(AND(D55="Y",E55="N"),"Yes","No"))</f>
        <v/>
      </c>
      <c r="I55" s="9">
        <f>IF(OR(D55="",E55=""),"",IF(OR(D55="N",E55="Y"),"Yes","No"))</f>
        <v/>
      </c>
      <c r="J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>
        <f>IF(OR(D56="",E56=""),"",IF(AND(D56="Y",E56="N"),"Yes","No"))</f>
        <v/>
      </c>
      <c r="I56" s="9">
        <f>IF(OR(D56="",E56=""),"",IF(OR(D56="N",E56="Y"),"Yes","No"))</f>
        <v/>
      </c>
      <c r="J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>
        <f>IF(OR(D57="",E57=""),"",IF(AND(D57="Y",E57="N"),"Yes","No"))</f>
        <v/>
      </c>
      <c r="I57" s="9">
        <f>IF(OR(D57="",E57=""),"",IF(OR(D57="N",E57="Y"),"Yes","No"))</f>
        <v/>
      </c>
      <c r="J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>
        <f>IF(OR(D58="",E58=""),"",IF(AND(D58="Y",E58="N"),"Yes","No"))</f>
        <v/>
      </c>
      <c r="I58" s="9">
        <f>IF(OR(D58="",E58=""),"",IF(OR(D58="N",E58="Y"),"Yes","No"))</f>
        <v/>
      </c>
      <c r="J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>
        <f>IF(OR(D59="",E59=""),"",IF(AND(D59="Y",E59="N"),"Yes","No"))</f>
        <v/>
      </c>
      <c r="I59" s="9">
        <f>IF(OR(D59="",E59=""),"",IF(OR(D59="N",E59="Y"),"Yes","No"))</f>
        <v/>
      </c>
      <c r="J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>
        <f>IF(OR(D60="",E60=""),"",IF(AND(D60="Y",E60="N"),"Yes","No"))</f>
        <v/>
      </c>
      <c r="I60" s="9">
        <f>IF(OR(D60="",E60=""),"",IF(OR(D60="N",E60="Y"),"Yes","No"))</f>
        <v/>
      </c>
      <c r="J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>
        <f>IF(OR(D61="",E61=""),"",IF(AND(D61="Y",E61="N"),"Yes","No"))</f>
        <v/>
      </c>
      <c r="I61" s="9">
        <f>IF(OR(D61="",E61=""),"",IF(OR(D61="N",E61="Y"),"Yes","No"))</f>
        <v/>
      </c>
      <c r="J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>
        <f>IF(OR(D62="",E62=""),"",IF(AND(D62="Y",E62="N"),"Yes","No"))</f>
        <v/>
      </c>
      <c r="I62" s="9">
        <f>IF(OR(D62="",E62=""),"",IF(OR(D62="N",E62="Y"),"Yes","No"))</f>
        <v/>
      </c>
      <c r="J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>
        <f>IF(OR(D63="",E63=""),"",IF(AND(D63="Y",E63="N"),"Yes","No"))</f>
        <v/>
      </c>
      <c r="I63" s="9">
        <f>IF(OR(D63="",E63=""),"",IF(OR(D63="N",E63="Y"),"Yes","No"))</f>
        <v/>
      </c>
      <c r="J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>
        <f>IF(OR(D64="",E64=""),"",IF(AND(D64="Y",E64="N"),"Yes","No"))</f>
        <v/>
      </c>
      <c r="I64" s="9">
        <f>IF(OR(D64="",E64=""),"",IF(OR(D64="N",E64="Y"),"Yes","No"))</f>
        <v/>
      </c>
      <c r="J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>
        <f>IF(OR(D65="",E65=""),"",IF(AND(D65="Y",E65="N"),"Yes","No"))</f>
        <v/>
      </c>
      <c r="I65" s="9">
        <f>IF(OR(D65="",E65=""),"",IF(OR(D65="N",E65="Y"),"Yes","No"))</f>
        <v/>
      </c>
      <c r="J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>
        <f>IF(OR(D66="",E66=""),"",IF(AND(D66="Y",E66="N"),"Yes","No"))</f>
        <v/>
      </c>
      <c r="I66" s="9">
        <f>IF(OR(D66="",E66=""),"",IF(OR(D66="N",E66="Y"),"Yes","No"))</f>
        <v/>
      </c>
      <c r="J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>
        <f>IF(OR(D67="",E67=""),"",IF(AND(D67="Y",E67="N"),"Yes","No"))</f>
        <v/>
      </c>
      <c r="I67" s="9">
        <f>IF(OR(D67="",E67=""),"",IF(OR(D67="N",E67="Y"),"Yes","No"))</f>
        <v/>
      </c>
      <c r="J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>
        <f>IF(OR(D68="",E68=""),"",IF(AND(D68="Y",E68="N"),"Yes","No"))</f>
        <v/>
      </c>
      <c r="I68" s="9">
        <f>IF(OR(D68="",E68=""),"",IF(OR(D68="N",E68="Y"),"Yes","No"))</f>
        <v/>
      </c>
      <c r="J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>
        <f>IF(OR(D69="",E69=""),"",IF(AND(D69="Y",E69="N"),"Yes","No"))</f>
        <v/>
      </c>
      <c r="I69" s="9">
        <f>IF(OR(D69="",E69=""),"",IF(OR(D69="N",E69="Y"),"Yes","No"))</f>
        <v/>
      </c>
      <c r="J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>
        <f>IF(OR(D70="",E70=""),"",IF(AND(D70="Y",E70="N"),"Yes","No"))</f>
        <v/>
      </c>
      <c r="I70" s="9">
        <f>IF(OR(D70="",E70=""),"",IF(OR(D70="N",E70="Y"),"Yes","No"))</f>
        <v/>
      </c>
      <c r="J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>
        <f>IF(OR(D71="",E71=""),"",IF(AND(D71="Y",E71="N"),"Yes","No"))</f>
        <v/>
      </c>
      <c r="I71" s="9">
        <f>IF(OR(D71="",E71=""),"",IF(OR(D71="N",E71="Y"),"Yes","No"))</f>
        <v/>
      </c>
      <c r="J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>
        <f>IF(OR(D72="",E72=""),"",IF(AND(D72="Y",E72="N"),"Yes","No"))</f>
        <v/>
      </c>
      <c r="I72" s="9">
        <f>IF(OR(D72="",E72=""),"",IF(OR(D72="N",E72="Y"),"Yes","No"))</f>
        <v/>
      </c>
      <c r="J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>
        <f>IF(OR(D73="",E73=""),"",IF(AND(D73="Y",E73="N"),"Yes","No"))</f>
        <v/>
      </c>
      <c r="I73" s="9">
        <f>IF(OR(D73="",E73=""),"",IF(OR(D73="N",E73="Y"),"Yes","No"))</f>
        <v/>
      </c>
      <c r="J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>
        <f>IF(OR(D74="",E74=""),"",IF(AND(D74="Y",E74="N"),"Yes","No"))</f>
        <v/>
      </c>
      <c r="I74" s="9">
        <f>IF(OR(D74="",E74=""),"",IF(OR(D74="N",E74="Y"),"Yes","No"))</f>
        <v/>
      </c>
      <c r="J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>
        <f>IF(OR(D75="",E75=""),"",IF(AND(D75="Y",E75="N"),"Yes","No"))</f>
        <v/>
      </c>
      <c r="I75" s="9">
        <f>IF(OR(D75="",E75=""),"",IF(OR(D75="N",E75="Y"),"Yes","No"))</f>
        <v/>
      </c>
      <c r="J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>
        <f>IF(OR(D76="",E76=""),"",IF(AND(D76="Y",E76="N"),"Yes","No"))</f>
        <v/>
      </c>
      <c r="I76" s="9">
        <f>IF(OR(D76="",E76=""),"",IF(OR(D76="N",E76="Y"),"Yes","No"))</f>
        <v/>
      </c>
      <c r="J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>
        <f>IF(OR(D77="",E77=""),"",IF(AND(D77="Y",E77="N"),"Yes","No"))</f>
        <v/>
      </c>
      <c r="I77" s="9">
        <f>IF(OR(D77="",E77=""),"",IF(OR(D77="N",E77="Y"),"Yes","No"))</f>
        <v/>
      </c>
      <c r="J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>
        <f>IF(OR(D78="",E78=""),"",IF(AND(D78="Y",E78="N"),"Yes","No"))</f>
        <v/>
      </c>
      <c r="I78" s="9">
        <f>IF(OR(D78="",E78=""),"",IF(OR(D78="N",E78="Y"),"Yes","No"))</f>
        <v/>
      </c>
      <c r="J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>
        <f>IF(OR(D79="",E79=""),"",IF(AND(D79="Y",E79="N"),"Yes","No"))</f>
        <v/>
      </c>
      <c r="I79" s="9">
        <f>IF(OR(D79="",E79=""),"",IF(OR(D79="N",E79="Y"),"Yes","No"))</f>
        <v/>
      </c>
      <c r="J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>
        <f>IF(OR(D80="",E80=""),"",IF(AND(D80="Y",E80="N"),"Yes","No"))</f>
        <v/>
      </c>
      <c r="I80" s="9">
        <f>IF(OR(D80="",E80=""),"",IF(OR(D80="N",E80="Y"),"Yes","No"))</f>
        <v/>
      </c>
      <c r="J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>
        <f>IF(OR(D81="",E81=""),"",IF(AND(D81="Y",E81="N"),"Yes","No"))</f>
        <v/>
      </c>
      <c r="I81" s="9">
        <f>IF(OR(D81="",E81=""),"",IF(OR(D81="N",E81="Y"),"Yes","No"))</f>
        <v/>
      </c>
      <c r="J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>
        <f>IF(OR(D82="",E82=""),"",IF(AND(D82="Y",E82="N"),"Yes","No"))</f>
        <v/>
      </c>
      <c r="I82" s="9">
        <f>IF(OR(D82="",E82=""),"",IF(OR(D82="N",E82="Y"),"Yes","No"))</f>
        <v/>
      </c>
      <c r="J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>
        <f>IF(OR(D83="",E83=""),"",IF(AND(D83="Y",E83="N"),"Yes","No"))</f>
        <v/>
      </c>
      <c r="I83" s="9">
        <f>IF(OR(D83="",E83=""),"",IF(OR(D83="N",E83="Y"),"Yes","No"))</f>
        <v/>
      </c>
      <c r="J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>
        <f>IF(OR(D84="",E84=""),"",IF(AND(D84="Y",E84="N"),"Yes","No"))</f>
        <v/>
      </c>
      <c r="I84" s="9">
        <f>IF(OR(D84="",E84=""),"",IF(OR(D84="N",E84="Y"),"Yes","No"))</f>
        <v/>
      </c>
      <c r="J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>
        <f>IF(OR(D85="",E85=""),"",IF(AND(D85="Y",E85="N"),"Yes","No"))</f>
        <v/>
      </c>
      <c r="I85" s="9">
        <f>IF(OR(D85="",E85=""),"",IF(OR(D85="N",E85="Y"),"Yes","No"))</f>
        <v/>
      </c>
      <c r="J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>
        <f>IF(OR(D86="",E86=""),"",IF(AND(D86="Y",E86="N"),"Yes","No"))</f>
        <v/>
      </c>
      <c r="I86" s="9">
        <f>IF(OR(D86="",E86=""),"",IF(OR(D86="N",E86="Y"),"Yes","No"))</f>
        <v/>
      </c>
      <c r="J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>
        <f>IF(OR(D87="",E87=""),"",IF(AND(D87="Y",E87="N"),"Yes","No"))</f>
        <v/>
      </c>
      <c r="I87" s="9">
        <f>IF(OR(D87="",E87=""),"",IF(OR(D87="N",E87="Y"),"Yes","No"))</f>
        <v/>
      </c>
      <c r="J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>
        <f>IF(OR(D88="",E88=""),"",IF(AND(D88="Y",E88="N"),"Yes","No"))</f>
        <v/>
      </c>
      <c r="I88" s="9">
        <f>IF(OR(D88="",E88=""),"",IF(OR(D88="N",E88="Y"),"Yes","No"))</f>
        <v/>
      </c>
      <c r="J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>
        <f>IF(OR(D89="",E89=""),"",IF(AND(D89="Y",E89="N"),"Yes","No"))</f>
        <v/>
      </c>
      <c r="I89" s="9">
        <f>IF(OR(D89="",E89=""),"",IF(OR(D89="N",E89="Y"),"Yes","No"))</f>
        <v/>
      </c>
      <c r="J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>
        <f>IF(OR(D90="",E90=""),"",IF(AND(D90="Y",E90="N"),"Yes","No"))</f>
        <v/>
      </c>
      <c r="I90" s="9">
        <f>IF(OR(D90="",E90=""),"",IF(OR(D90="N",E90="Y"),"Yes","No"))</f>
        <v/>
      </c>
      <c r="J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>
        <f>IF(OR(D91="",E91=""),"",IF(AND(D91="Y",E91="N"),"Yes","No"))</f>
        <v/>
      </c>
      <c r="I91" s="9">
        <f>IF(OR(D91="",E91=""),"",IF(OR(D91="N",E91="Y"),"Yes","No"))</f>
        <v/>
      </c>
      <c r="J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>
        <f>IF(OR(D92="",E92=""),"",IF(AND(D92="Y",E92="N"),"Yes","No"))</f>
        <v/>
      </c>
      <c r="I92" s="9">
        <f>IF(OR(D92="",E92=""),"",IF(OR(D92="N",E92="Y"),"Yes","No"))</f>
        <v/>
      </c>
      <c r="J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>
        <f>IF(OR(D93="",E93=""),"",IF(AND(D93="Y",E93="N"),"Yes","No"))</f>
        <v/>
      </c>
      <c r="I93" s="9">
        <f>IF(OR(D93="",E93=""),"",IF(OR(D93="N",E93="Y"),"Yes","No"))</f>
        <v/>
      </c>
      <c r="J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>
        <f>IF(OR(D94="",E94=""),"",IF(AND(D94="Y",E94="N"),"Yes","No"))</f>
        <v/>
      </c>
      <c r="I94" s="9">
        <f>IF(OR(D94="",E94=""),"",IF(OR(D94="N",E94="Y"),"Yes","No"))</f>
        <v/>
      </c>
      <c r="J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>
        <f>IF(OR(D95="",E95=""),"",IF(AND(D95="Y",E95="N"),"Yes","No"))</f>
        <v/>
      </c>
      <c r="I95" s="9">
        <f>IF(OR(D95="",E95=""),"",IF(OR(D95="N",E95="Y"),"Yes","No"))</f>
        <v/>
      </c>
      <c r="J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>
        <f>IF(OR(D96="",E96=""),"",IF(AND(D96="Y",E96="N"),"Yes","No"))</f>
        <v/>
      </c>
      <c r="I96" s="9">
        <f>IF(OR(D96="",E96=""),"",IF(OR(D96="N",E96="Y"),"Yes","No"))</f>
        <v/>
      </c>
      <c r="J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>
        <f>IF(OR(D97="",E97=""),"",IF(AND(D97="Y",E97="N"),"Yes","No"))</f>
        <v/>
      </c>
      <c r="I97" s="9">
        <f>IF(OR(D97="",E97=""),"",IF(OR(D97="N",E97="Y"),"Yes","No"))</f>
        <v/>
      </c>
      <c r="J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>
        <f>IF(OR(D98="",E98=""),"",IF(AND(D98="Y",E98="N"),"Yes","No"))</f>
        <v/>
      </c>
      <c r="I98" s="9">
        <f>IF(OR(D98="",E98=""),"",IF(OR(D98="N",E98="Y"),"Yes","No"))</f>
        <v/>
      </c>
      <c r="J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>
        <f>IF(OR(D99="",E99=""),"",IF(AND(D99="Y",E99="N"),"Yes","No"))</f>
        <v/>
      </c>
      <c r="I99" s="9">
        <f>IF(OR(D99="",E99=""),"",IF(OR(D99="N",E99="Y"),"Yes","No"))</f>
        <v/>
      </c>
      <c r="J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>
        <f>IF(OR(D100="",E100=""),"",IF(AND(D100="Y",E100="N"),"Yes","No"))</f>
        <v/>
      </c>
      <c r="I100" s="9">
        <f>IF(OR(D100="",E100=""),"",IF(OR(D100="N",E100="Y"),"Yes","No"))</f>
        <v/>
      </c>
      <c r="J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>
        <f>IF(OR(D101="",E101=""),"",IF(AND(D101="Y",E101="N"),"Yes","No"))</f>
        <v/>
      </c>
      <c r="I101" s="9">
        <f>IF(OR(D101="",E101=""),"",IF(OR(D101="N",E101="Y"),"Yes","No"))</f>
        <v/>
      </c>
      <c r="J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>
        <f>IF(OR(D102="",E102=""),"",IF(AND(D102="Y",E102="N"),"Yes","No"))</f>
        <v/>
      </c>
      <c r="I102" s="9">
        <f>IF(OR(D102="",E102=""),"",IF(OR(D102="N",E102="Y"),"Yes","No"))</f>
        <v/>
      </c>
      <c r="J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>
        <f>IF(OR(D103="",E103=""),"",IF(AND(D103="Y",E103="N"),"Yes","No"))</f>
        <v/>
      </c>
      <c r="I103" s="9">
        <f>IF(OR(D103="",E103=""),"",IF(OR(D103="N",E103="Y"),"Yes","No"))</f>
        <v/>
      </c>
      <c r="J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>
        <f>IF(OR(D104="",E104=""),"",IF(AND(D104="Y",E104="N"),"Yes","No"))</f>
        <v/>
      </c>
      <c r="I104" s="9">
        <f>IF(OR(D104="",E104=""),"",IF(OR(D104="N",E104="Y"),"Yes","No"))</f>
        <v/>
      </c>
      <c r="J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>
        <f>IF(OR(D105="",E105=""),"",IF(AND(D105="Y",E105="N"),"Yes","No"))</f>
        <v/>
      </c>
      <c r="I105" s="9">
        <f>IF(OR(D105="",E105=""),"",IF(OR(D105="N",E105="Y"),"Yes","No"))</f>
        <v/>
      </c>
      <c r="J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>
        <f>IF(OR(D106="",E106=""),"",IF(AND(D106="Y",E106="N"),"Yes","No"))</f>
        <v/>
      </c>
      <c r="I106" s="9">
        <f>IF(OR(D106="",E106=""),"",IF(OR(D106="N",E106="Y"),"Yes","No"))</f>
        <v/>
      </c>
      <c r="J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>
        <f>IF(OR(D107="",E107=""),"",IF(AND(D107="Y",E107="N"),"Yes","No"))</f>
        <v/>
      </c>
      <c r="I107" s="9">
        <f>IF(OR(D107="",E107=""),"",IF(OR(D107="N",E107="Y"),"Yes","No"))</f>
        <v/>
      </c>
      <c r="J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>
        <f>IF(OR(D108="",E108=""),"",IF(AND(D108="Y",E108="N"),"Yes","No"))</f>
        <v/>
      </c>
      <c r="I108" s="9">
        <f>IF(OR(D108="",E108=""),"",IF(OR(D108="N",E108="Y"),"Yes","No"))</f>
        <v/>
      </c>
      <c r="J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>
        <f>IF(OR(D109="",E109=""),"",IF(AND(D109="Y",E109="N"),"Yes","No"))</f>
        <v/>
      </c>
      <c r="I109" s="9">
        <f>IF(OR(D109="",E109=""),"",IF(OR(D109="N",E109="Y"),"Yes","No"))</f>
        <v/>
      </c>
      <c r="J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>
        <f>IF(OR(D110="",E110=""),"",IF(AND(D110="Y",E110="N"),"Yes","No"))</f>
        <v/>
      </c>
      <c r="I110" s="9">
        <f>IF(OR(D110="",E110=""),"",IF(OR(D110="N",E110="Y"),"Yes","No"))</f>
        <v/>
      </c>
      <c r="J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>
        <f>IF(OR(D111="",E111=""),"",IF(AND(D111="Y",E111="N"),"Yes","No"))</f>
        <v/>
      </c>
      <c r="I111" s="9">
        <f>IF(OR(D111="",E111=""),"",IF(OR(D111="N",E111="Y"),"Yes","No"))</f>
        <v/>
      </c>
      <c r="J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>
        <f>IF(OR(D112="",E112=""),"",IF(AND(D112="Y",E112="N"),"Yes","No"))</f>
        <v/>
      </c>
      <c r="I112" s="9">
        <f>IF(OR(D112="",E112=""),"",IF(OR(D112="N",E112="Y"),"Yes","No"))</f>
        <v/>
      </c>
      <c r="J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>
        <f>IF(OR(D113="",E113=""),"",IF(AND(D113="Y",E113="N"),"Yes","No"))</f>
        <v/>
      </c>
      <c r="I113" s="9">
        <f>IF(OR(D113="",E113=""),"",IF(OR(D113="N",E113="Y"),"Yes","No"))</f>
        <v/>
      </c>
      <c r="J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>
        <f>IF(OR(D114="",E114=""),"",IF(AND(D114="Y",E114="N"),"Yes","No"))</f>
        <v/>
      </c>
      <c r="I114" s="9">
        <f>IF(OR(D114="",E114=""),"",IF(OR(D114="N",E114="Y"),"Yes","No"))</f>
        <v/>
      </c>
      <c r="J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>
        <f>IF(OR(D115="",E115=""),"",IF(AND(D115="Y",E115="N"),"Yes","No"))</f>
        <v/>
      </c>
      <c r="I115" s="9">
        <f>IF(OR(D115="",E115=""),"",IF(OR(D115="N",E115="Y"),"Yes","No"))</f>
        <v/>
      </c>
      <c r="J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>
        <f>IF(OR(D116="",E116=""),"",IF(AND(D116="Y",E116="N"),"Yes","No"))</f>
        <v/>
      </c>
      <c r="I116" s="9">
        <f>IF(OR(D116="",E116=""),"",IF(OR(D116="N",E116="Y"),"Yes","No"))</f>
        <v/>
      </c>
      <c r="J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>
        <f>IF(OR(D117="",E117=""),"",IF(AND(D117="Y",E117="N"),"Yes","No"))</f>
        <v/>
      </c>
      <c r="I117" s="9">
        <f>IF(OR(D117="",E117=""),"",IF(OR(D117="N",E117="Y"),"Yes","No"))</f>
        <v/>
      </c>
      <c r="J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>
        <f>IF(OR(D118="",E118=""),"",IF(AND(D118="Y",E118="N"),"Yes","No"))</f>
        <v/>
      </c>
      <c r="I118" s="9">
        <f>IF(OR(D118="",E118=""),"",IF(OR(D118="N",E118="Y"),"Yes","No"))</f>
        <v/>
      </c>
      <c r="J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>
        <f>IF(OR(D119="",E119=""),"",IF(AND(D119="Y",E119="N"),"Yes","No"))</f>
        <v/>
      </c>
      <c r="I119" s="9">
        <f>IF(OR(D119="",E119=""),"",IF(OR(D119="N",E119="Y"),"Yes","No"))</f>
        <v/>
      </c>
      <c r="J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>
        <f>IF(OR(D120="",E120=""),"",IF(AND(D120="Y",E120="N"),"Yes","No"))</f>
        <v/>
      </c>
      <c r="I120" s="9">
        <f>IF(OR(D120="",E120=""),"",IF(OR(D120="N",E120="Y"),"Yes","No"))</f>
        <v/>
      </c>
      <c r="J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>
        <f>IF(OR(D121="",E121=""),"",IF(AND(D121="Y",E121="N"),"Yes","No"))</f>
        <v/>
      </c>
      <c r="I121" s="9">
        <f>IF(OR(D121="",E121=""),"",IF(OR(D121="N",E121="Y"),"Yes","No"))</f>
        <v/>
      </c>
      <c r="J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>
        <f>IF(OR(D122="",E122=""),"",IF(AND(D122="Y",E122="N"),"Yes","No"))</f>
        <v/>
      </c>
      <c r="I122" s="9">
        <f>IF(OR(D122="",E122=""),"",IF(OR(D122="N",E122="Y"),"Yes","No"))</f>
        <v/>
      </c>
      <c r="J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>
        <f>IF(OR(D123="",E123=""),"",IF(AND(D123="Y",E123="N"),"Yes","No"))</f>
        <v/>
      </c>
      <c r="I123" s="9">
        <f>IF(OR(D123="",E123=""),"",IF(OR(D123="N",E123="Y"),"Yes","No"))</f>
        <v/>
      </c>
      <c r="J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>
        <f>IF(OR(D124="",E124=""),"",IF(AND(D124="Y",E124="N"),"Yes","No"))</f>
        <v/>
      </c>
      <c r="I124" s="9">
        <f>IF(OR(D124="",E124=""),"",IF(OR(D124="N",E124="Y"),"Yes","No"))</f>
        <v/>
      </c>
      <c r="J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>
        <f>IF(OR(D125="",E125=""),"",IF(AND(D125="Y",E125="N"),"Yes","No"))</f>
        <v/>
      </c>
      <c r="I125" s="9">
        <f>IF(OR(D125="",E125=""),"",IF(OR(D125="N",E125="Y"),"Yes","No"))</f>
        <v/>
      </c>
      <c r="J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>
        <f>IF(OR(D126="",E126=""),"",IF(AND(D126="Y",E126="N"),"Yes","No"))</f>
        <v/>
      </c>
      <c r="I126" s="9">
        <f>IF(OR(D126="",E126=""),"",IF(OR(D126="N",E126="Y"),"Yes","No"))</f>
        <v/>
      </c>
      <c r="J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>
        <f>IF(OR(D127="",E127=""),"",IF(AND(D127="Y",E127="N"),"Yes","No"))</f>
        <v/>
      </c>
      <c r="I127" s="9">
        <f>IF(OR(D127="",E127=""),"",IF(OR(D127="N",E127="Y"),"Yes","No"))</f>
        <v/>
      </c>
      <c r="J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>
        <f>IF(OR(D128="",E128=""),"",IF(AND(D128="Y",E128="N"),"Yes","No"))</f>
        <v/>
      </c>
      <c r="I128" s="9">
        <f>IF(OR(D128="",E128=""),"",IF(OR(D128="N",E128="Y"),"Yes","No"))</f>
        <v/>
      </c>
      <c r="J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>
        <f>IF(OR(D129="",E129=""),"",IF(AND(D129="Y",E129="N"),"Yes","No"))</f>
        <v/>
      </c>
      <c r="I129" s="9">
        <f>IF(OR(D129="",E129=""),"",IF(OR(D129="N",E129="Y"),"Yes","No"))</f>
        <v/>
      </c>
      <c r="J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>
        <f>IF(OR(D130="",E130=""),"",IF(AND(D130="Y",E130="N"),"Yes","No"))</f>
        <v/>
      </c>
      <c r="I130" s="9">
        <f>IF(OR(D130="",E130=""),"",IF(OR(D130="N",E130="Y"),"Yes","No"))</f>
        <v/>
      </c>
      <c r="J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>
        <f>IF(OR(D131="",E131=""),"",IF(AND(D131="Y",E131="N"),"Yes","No"))</f>
        <v/>
      </c>
      <c r="I131" s="9">
        <f>IF(OR(D131="",E131=""),"",IF(OR(D131="N",E131="Y"),"Yes","No"))</f>
        <v/>
      </c>
      <c r="J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>
        <f>IF(OR(D132="",E132=""),"",IF(AND(D132="Y",E132="N"),"Yes","No"))</f>
        <v/>
      </c>
      <c r="I132" s="9">
        <f>IF(OR(D132="",E132=""),"",IF(OR(D132="N",E132="Y"),"Yes","No"))</f>
        <v/>
      </c>
      <c r="J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>
        <f>IF(OR(D133="",E133=""),"",IF(AND(D133="Y",E133="N"),"Yes","No"))</f>
        <v/>
      </c>
      <c r="I133" s="9">
        <f>IF(OR(D133="",E133=""),"",IF(OR(D133="N",E133="Y"),"Yes","No"))</f>
        <v/>
      </c>
      <c r="J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>
        <f>IF(OR(D134="",E134=""),"",IF(AND(D134="Y",E134="N"),"Yes","No"))</f>
        <v/>
      </c>
      <c r="I134" s="9">
        <f>IF(OR(D134="",E134=""),"",IF(OR(D134="N",E134="Y"),"Yes","No"))</f>
        <v/>
      </c>
      <c r="J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>
        <f>IF(OR(D135="",E135=""),"",IF(AND(D135="Y",E135="N"),"Yes","No"))</f>
        <v/>
      </c>
      <c r="I135" s="9">
        <f>IF(OR(D135="",E135=""),"",IF(OR(D135="N",E135="Y"),"Yes","No"))</f>
        <v/>
      </c>
      <c r="J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>
        <f>IF(OR(D136="",E136=""),"",IF(AND(D136="Y",E136="N"),"Yes","No"))</f>
        <v/>
      </c>
      <c r="I136" s="9">
        <f>IF(OR(D136="",E136=""),"",IF(OR(D136="N",E136="Y"),"Yes","No"))</f>
        <v/>
      </c>
      <c r="J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>
        <f>IF(OR(D137="",E137=""),"",IF(AND(D137="Y",E137="N"),"Yes","No"))</f>
        <v/>
      </c>
      <c r="I137" s="9">
        <f>IF(OR(D137="",E137=""),"",IF(OR(D137="N",E137="Y"),"Yes","No"))</f>
        <v/>
      </c>
      <c r="J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>
        <f>IF(OR(D138="",E138=""),"",IF(AND(D138="Y",E138="N"),"Yes","No"))</f>
        <v/>
      </c>
      <c r="I138" s="9">
        <f>IF(OR(D138="",E138=""),"",IF(OR(D138="N",E138="Y"),"Yes","No"))</f>
        <v/>
      </c>
      <c r="J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>
        <f>IF(OR(D139="",E139=""),"",IF(AND(D139="Y",E139="N"),"Yes","No"))</f>
        <v/>
      </c>
      <c r="I139" s="9">
        <f>IF(OR(D139="",E139=""),"",IF(OR(D139="N",E139="Y"),"Yes","No"))</f>
        <v/>
      </c>
      <c r="J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>
        <f>IF(OR(D140="",E140=""),"",IF(AND(D140="Y",E140="N"),"Yes","No"))</f>
        <v/>
      </c>
      <c r="I140" s="9">
        <f>IF(OR(D140="",E140=""),"",IF(OR(D140="N",E140="Y"),"Yes","No"))</f>
        <v/>
      </c>
      <c r="J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>
        <f>IF(OR(D141="",E141=""),"",IF(AND(D141="Y",E141="N"),"Yes","No"))</f>
        <v/>
      </c>
      <c r="I141" s="9">
        <f>IF(OR(D141="",E141=""),"",IF(OR(D141="N",E141="Y"),"Yes","No"))</f>
        <v/>
      </c>
      <c r="J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>
        <f>IF(OR(D142="",E142=""),"",IF(AND(D142="Y",E142="N"),"Yes","No"))</f>
        <v/>
      </c>
      <c r="I142" s="9">
        <f>IF(OR(D142="",E142=""),"",IF(OR(D142="N",E142="Y"),"Yes","No"))</f>
        <v/>
      </c>
      <c r="J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>
        <f>IF(OR(D143="",E143=""),"",IF(AND(D143="Y",E143="N"),"Yes","No"))</f>
        <v/>
      </c>
      <c r="I143" s="9">
        <f>IF(OR(D143="",E143=""),"",IF(OR(D143="N",E143="Y"),"Yes","No"))</f>
        <v/>
      </c>
      <c r="J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>
        <f>IF(OR(D144="",E144=""),"",IF(AND(D144="Y",E144="N"),"Yes","No"))</f>
        <v/>
      </c>
      <c r="I144" s="9">
        <f>IF(OR(D144="",E144=""),"",IF(OR(D144="N",E144="Y"),"Yes","No"))</f>
        <v/>
      </c>
      <c r="J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>
        <f>IF(OR(D145="",E145=""),"",IF(AND(D145="Y",E145="N"),"Yes","No"))</f>
        <v/>
      </c>
      <c r="I145" s="9">
        <f>IF(OR(D145="",E145=""),"",IF(OR(D145="N",E145="Y"),"Yes","No"))</f>
        <v/>
      </c>
      <c r="J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>
        <f>IF(OR(D146="",E146=""),"",IF(AND(D146="Y",E146="N"),"Yes","No"))</f>
        <v/>
      </c>
      <c r="I146" s="9">
        <f>IF(OR(D146="",E146=""),"",IF(OR(D146="N",E146="Y"),"Yes","No"))</f>
        <v/>
      </c>
      <c r="J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>
        <f>IF(OR(D147="",E147=""),"",IF(AND(D147="Y",E147="N"),"Yes","No"))</f>
        <v/>
      </c>
      <c r="I147" s="9">
        <f>IF(OR(D147="",E147=""),"",IF(OR(D147="N",E147="Y"),"Yes","No"))</f>
        <v/>
      </c>
      <c r="J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>
        <f>IF(OR(D148="",E148=""),"",IF(AND(D148="Y",E148="N"),"Yes","No"))</f>
        <v/>
      </c>
      <c r="I148" s="9">
        <f>IF(OR(D148="",E148=""),"",IF(OR(D148="N",E148="Y"),"Yes","No"))</f>
        <v/>
      </c>
      <c r="J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>
        <f>IF(OR(D149="",E149=""),"",IF(AND(D149="Y",E149="N"),"Yes","No"))</f>
        <v/>
      </c>
      <c r="I149" s="9">
        <f>IF(OR(D149="",E149=""),"",IF(OR(D149="N",E149="Y"),"Yes","No"))</f>
        <v/>
      </c>
      <c r="J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>
        <f>IF(OR(D150="",E150=""),"",IF(AND(D150="Y",E150="N"),"Yes","No"))</f>
        <v/>
      </c>
      <c r="I150" s="9">
        <f>IF(OR(D150="",E150=""),"",IF(OR(D150="N",E150="Y"),"Yes","No"))</f>
        <v/>
      </c>
      <c r="J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>
        <f>IF(OR(D151="",E151=""),"",IF(AND(D151="Y",E151="N"),"Yes","No"))</f>
        <v/>
      </c>
      <c r="I151" s="9">
        <f>IF(OR(D151="",E151=""),"",IF(OR(D151="N",E151="Y"),"Yes","No"))</f>
        <v/>
      </c>
      <c r="J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>
        <f>IF(OR(D152="",E152=""),"",IF(AND(D152="Y",E152="N"),"Yes","No"))</f>
        <v/>
      </c>
      <c r="I152" s="9">
        <f>IF(OR(D152="",E152=""),"",IF(OR(D152="N",E152="Y"),"Yes","No"))</f>
        <v/>
      </c>
      <c r="J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>
        <f>IF(OR(D153="",E153=""),"",IF(AND(D153="Y",E153="N"),"Yes","No"))</f>
        <v/>
      </c>
      <c r="I153" s="9">
        <f>IF(OR(D153="",E153=""),"",IF(OR(D153="N",E153="Y"),"Yes","No"))</f>
        <v/>
      </c>
      <c r="J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>
        <f>IF(OR(D154="",E154=""),"",IF(AND(D154="Y",E154="N"),"Yes","No"))</f>
        <v/>
      </c>
      <c r="I154" s="9">
        <f>IF(OR(D154="",E154=""),"",IF(OR(D154="N",E154="Y"),"Yes","No"))</f>
        <v/>
      </c>
      <c r="J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>
        <f>IF(OR(D155="",E155=""),"",IF(AND(D155="Y",E155="N"),"Yes","No"))</f>
        <v/>
      </c>
      <c r="I155" s="9">
        <f>IF(OR(D155="",E155=""),"",IF(OR(D155="N",E155="Y"),"Yes","No"))</f>
        <v/>
      </c>
      <c r="J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>
        <f>IF(OR(D156="",E156=""),"",IF(AND(D156="Y",E156="N"),"Yes","No"))</f>
        <v/>
      </c>
      <c r="I156" s="9">
        <f>IF(OR(D156="",E156=""),"",IF(OR(D156="N",E156="Y"),"Yes","No"))</f>
        <v/>
      </c>
      <c r="J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>
        <f>IF(OR(D157="",E157=""),"",IF(AND(D157="Y",E157="N"),"Yes","No"))</f>
        <v/>
      </c>
      <c r="I157" s="9">
        <f>IF(OR(D157="",E157=""),"",IF(OR(D157="N",E157="Y"),"Yes","No"))</f>
        <v/>
      </c>
      <c r="J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>
        <f>IF(OR(D158="",E158=""),"",IF(AND(D158="Y",E158="N"),"Yes","No"))</f>
        <v/>
      </c>
      <c r="I158" s="9">
        <f>IF(OR(D158="",E158=""),"",IF(OR(D158="N",E158="Y"),"Yes","No"))</f>
        <v/>
      </c>
      <c r="J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>
        <f>IF(OR(D159="",E159=""),"",IF(AND(D159="Y",E159="N"),"Yes","No"))</f>
        <v/>
      </c>
      <c r="I159" s="9">
        <f>IF(OR(D159="",E159=""),"",IF(OR(D159="N",E159="Y"),"Yes","No"))</f>
        <v/>
      </c>
      <c r="J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>
        <f>IF(OR(D160="",E160=""),"",IF(AND(D160="Y",E160="N"),"Yes","No"))</f>
        <v/>
      </c>
      <c r="I160" s="9">
        <f>IF(OR(D160="",E160=""),"",IF(OR(D160="N",E160="Y"),"Yes","No"))</f>
        <v/>
      </c>
      <c r="J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>
        <f>IF(OR(D161="",E161=""),"",IF(AND(D161="Y",E161="N"),"Yes","No"))</f>
        <v/>
      </c>
      <c r="I161" s="9">
        <f>IF(OR(D161="",E161=""),"",IF(OR(D161="N",E161="Y"),"Yes","No"))</f>
        <v/>
      </c>
      <c r="J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>
        <f>IF(OR(D162="",E162=""),"",IF(AND(D162="Y",E162="N"),"Yes","No"))</f>
        <v/>
      </c>
      <c r="I162" s="9">
        <f>IF(OR(D162="",E162=""),"",IF(OR(D162="N",E162="Y"),"Yes","No"))</f>
        <v/>
      </c>
      <c r="J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>
        <f>IF(OR(D163="",E163=""),"",IF(AND(D163="Y",E163="N"),"Yes","No"))</f>
        <v/>
      </c>
      <c r="I163" s="9">
        <f>IF(OR(D163="",E163=""),"",IF(OR(D163="N",E163="Y"),"Yes","No"))</f>
        <v/>
      </c>
      <c r="J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>
        <f>IF(OR(D164="",E164=""),"",IF(AND(D164="Y",E164="N"),"Yes","No"))</f>
        <v/>
      </c>
      <c r="I164" s="9">
        <f>IF(OR(D164="",E164=""),"",IF(OR(D164="N",E164="Y"),"Yes","No"))</f>
        <v/>
      </c>
      <c r="J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>
        <f>IF(OR(D165="",E165=""),"",IF(AND(D165="Y",E165="N"),"Yes","No"))</f>
        <v/>
      </c>
      <c r="I165" s="9">
        <f>IF(OR(D165="",E165=""),"",IF(OR(D165="N",E165="Y"),"Yes","No"))</f>
        <v/>
      </c>
      <c r="J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>
        <f>IF(OR(D166="",E166=""),"",IF(AND(D166="Y",E166="N"),"Yes","No"))</f>
        <v/>
      </c>
      <c r="I166" s="9">
        <f>IF(OR(D166="",E166=""),"",IF(OR(D166="N",E166="Y"),"Yes","No"))</f>
        <v/>
      </c>
      <c r="J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>
        <f>IF(OR(D167="",E167=""),"",IF(AND(D167="Y",E167="N"),"Yes","No"))</f>
        <v/>
      </c>
      <c r="I167" s="9">
        <f>IF(OR(D167="",E167=""),"",IF(OR(D167="N",E167="Y"),"Yes","No"))</f>
        <v/>
      </c>
      <c r="J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>
        <f>IF(OR(D168="",E168=""),"",IF(AND(D168="Y",E168="N"),"Yes","No"))</f>
        <v/>
      </c>
      <c r="I168" s="9">
        <f>IF(OR(D168="",E168=""),"",IF(OR(D168="N",E168="Y"),"Yes","No"))</f>
        <v/>
      </c>
      <c r="J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>
        <f>IF(OR(D169="",E169=""),"",IF(AND(D169="Y",E169="N"),"Yes","No"))</f>
        <v/>
      </c>
      <c r="I169" s="9">
        <f>IF(OR(D169="",E169=""),"",IF(OR(D169="N",E169="Y"),"Yes","No"))</f>
        <v/>
      </c>
      <c r="J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>
        <f>IF(OR(D170="",E170=""),"",IF(AND(D170="Y",E170="N"),"Yes","No"))</f>
        <v/>
      </c>
      <c r="I170" s="9">
        <f>IF(OR(D170="",E170=""),"",IF(OR(D170="N",E170="Y"),"Yes","No"))</f>
        <v/>
      </c>
      <c r="J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>
        <f>IF(OR(D171="",E171=""),"",IF(AND(D171="Y",E171="N"),"Yes","No"))</f>
        <v/>
      </c>
      <c r="I171" s="9">
        <f>IF(OR(D171="",E171=""),"",IF(OR(D171="N",E171="Y"),"Yes","No"))</f>
        <v/>
      </c>
      <c r="J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>
        <f>IF(OR(D172="",E172=""),"",IF(AND(D172="Y",E172="N"),"Yes","No"))</f>
        <v/>
      </c>
      <c r="I172" s="9">
        <f>IF(OR(D172="",E172=""),"",IF(OR(D172="N",E172="Y"),"Yes","No"))</f>
        <v/>
      </c>
      <c r="J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>
        <f>IF(OR(D173="",E173=""),"",IF(AND(D173="Y",E173="N"),"Yes","No"))</f>
        <v/>
      </c>
      <c r="I173" s="9">
        <f>IF(OR(D173="",E173=""),"",IF(OR(D173="N",E173="Y"),"Yes","No"))</f>
        <v/>
      </c>
      <c r="J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>
        <f>IF(OR(D174="",E174=""),"",IF(AND(D174="Y",E174="N"),"Yes","No"))</f>
        <v/>
      </c>
      <c r="I174" s="9">
        <f>IF(OR(D174="",E174=""),"",IF(OR(D174="N",E174="Y"),"Yes","No"))</f>
        <v/>
      </c>
      <c r="J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>
        <f>IF(OR(D175="",E175=""),"",IF(AND(D175="Y",E175="N"),"Yes","No"))</f>
        <v/>
      </c>
      <c r="I175" s="9">
        <f>IF(OR(D175="",E175=""),"",IF(OR(D175="N",E175="Y"),"Yes","No"))</f>
        <v/>
      </c>
      <c r="J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>
        <f>IF(OR(D176="",E176=""),"",IF(AND(D176="Y",E176="N"),"Yes","No"))</f>
        <v/>
      </c>
      <c r="I176" s="9">
        <f>IF(OR(D176="",E176=""),"",IF(OR(D176="N",E176="Y"),"Yes","No"))</f>
        <v/>
      </c>
      <c r="J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>
        <f>IF(OR(D177="",E177=""),"",IF(AND(D177="Y",E177="N"),"Yes","No"))</f>
        <v/>
      </c>
      <c r="I177" s="9">
        <f>IF(OR(D177="",E177=""),"",IF(OR(D177="N",E177="Y"),"Yes","No"))</f>
        <v/>
      </c>
      <c r="J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>
        <f>IF(OR(D178="",E178=""),"",IF(AND(D178="Y",E178="N"),"Yes","No"))</f>
        <v/>
      </c>
      <c r="I178" s="9">
        <f>IF(OR(D178="",E178=""),"",IF(OR(D178="N",E178="Y"),"Yes","No"))</f>
        <v/>
      </c>
      <c r="J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>
        <f>IF(OR(D179="",E179=""),"",IF(AND(D179="Y",E179="N"),"Yes","No"))</f>
        <v/>
      </c>
      <c r="I179" s="9">
        <f>IF(OR(D179="",E179=""),"",IF(OR(D179="N",E179="Y"),"Yes","No"))</f>
        <v/>
      </c>
      <c r="J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>
        <f>IF(OR(D180="",E180=""),"",IF(AND(D180="Y",E180="N"),"Yes","No"))</f>
        <v/>
      </c>
      <c r="I180" s="9">
        <f>IF(OR(D180="",E180=""),"",IF(OR(D180="N",E180="Y"),"Yes","No"))</f>
        <v/>
      </c>
      <c r="J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>
        <f>IF(OR(D181="",E181=""),"",IF(AND(D181="Y",E181="N"),"Yes","No"))</f>
        <v/>
      </c>
      <c r="I181" s="9">
        <f>IF(OR(D181="",E181=""),"",IF(OR(D181="N",E181="Y"),"Yes","No"))</f>
        <v/>
      </c>
      <c r="J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>
        <f>IF(OR(D182="",E182=""),"",IF(AND(D182="Y",E182="N"),"Yes","No"))</f>
        <v/>
      </c>
      <c r="I182" s="9">
        <f>IF(OR(D182="",E182=""),"",IF(OR(D182="N",E182="Y"),"Yes","No"))</f>
        <v/>
      </c>
      <c r="J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>
        <f>IF(OR(D183="",E183=""),"",IF(AND(D183="Y",E183="N"),"Yes","No"))</f>
        <v/>
      </c>
      <c r="I183" s="9">
        <f>IF(OR(D183="",E183=""),"",IF(OR(D183="N",E183="Y"),"Yes","No"))</f>
        <v/>
      </c>
      <c r="J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>
        <f>IF(OR(D184="",E184=""),"",IF(AND(D184="Y",E184="N"),"Yes","No"))</f>
        <v/>
      </c>
      <c r="I184" s="9">
        <f>IF(OR(D184="",E184=""),"",IF(OR(D184="N",E184="Y"),"Yes","No"))</f>
        <v/>
      </c>
      <c r="J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>
        <f>IF(OR(D185="",E185=""),"",IF(AND(D185="Y",E185="N"),"Yes","No"))</f>
        <v/>
      </c>
      <c r="I185" s="9">
        <f>IF(OR(D185="",E185=""),"",IF(OR(D185="N",E185="Y"),"Yes","No"))</f>
        <v/>
      </c>
      <c r="J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>
        <f>IF(OR(D186="",E186=""),"",IF(AND(D186="Y",E186="N"),"Yes","No"))</f>
        <v/>
      </c>
      <c r="I186" s="9">
        <f>IF(OR(D186="",E186=""),"",IF(OR(D186="N",E186="Y"),"Yes","No"))</f>
        <v/>
      </c>
      <c r="J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>
        <f>IF(OR(D187="",E187=""),"",IF(AND(D187="Y",E187="N"),"Yes","No"))</f>
        <v/>
      </c>
      <c r="I187" s="9">
        <f>IF(OR(D187="",E187=""),"",IF(OR(D187="N",E187="Y"),"Yes","No"))</f>
        <v/>
      </c>
      <c r="J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>
        <f>IF(OR(D188="",E188=""),"",IF(AND(D188="Y",E188="N"),"Yes","No"))</f>
        <v/>
      </c>
      <c r="I188" s="9">
        <f>IF(OR(D188="",E188=""),"",IF(OR(D188="N",E188="Y"),"Yes","No"))</f>
        <v/>
      </c>
      <c r="J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>
        <f>IF(OR(D189="",E189=""),"",IF(AND(D189="Y",E189="N"),"Yes","No"))</f>
        <v/>
      </c>
      <c r="I189" s="9">
        <f>IF(OR(D189="",E189=""),"",IF(OR(D189="N",E189="Y"),"Yes","No"))</f>
        <v/>
      </c>
      <c r="J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>
        <f>IF(OR(D190="",E190=""),"",IF(AND(D190="Y",E190="N"),"Yes","No"))</f>
        <v/>
      </c>
      <c r="I190" s="9">
        <f>IF(OR(D190="",E190=""),"",IF(OR(D190="N",E190="Y"),"Yes","No"))</f>
        <v/>
      </c>
      <c r="J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>
        <f>IF(OR(D191="",E191=""),"",IF(AND(D191="Y",E191="N"),"Yes","No"))</f>
        <v/>
      </c>
      <c r="I191" s="9">
        <f>IF(OR(D191="",E191=""),"",IF(OR(D191="N",E191="Y"),"Yes","No"))</f>
        <v/>
      </c>
      <c r="J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>
        <f>IF(OR(D192="",E192=""),"",IF(AND(D192="Y",E192="N"),"Yes","No"))</f>
        <v/>
      </c>
      <c r="I192" s="9">
        <f>IF(OR(D192="",E192=""),"",IF(OR(D192="N",E192="Y"),"Yes","No"))</f>
        <v/>
      </c>
      <c r="J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>
        <f>IF(OR(D193="",E193=""),"",IF(AND(D193="Y",E193="N"),"Yes","No"))</f>
        <v/>
      </c>
      <c r="I193" s="9">
        <f>IF(OR(D193="",E193=""),"",IF(OR(D193="N",E193="Y"),"Yes","No"))</f>
        <v/>
      </c>
      <c r="J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>
        <f>IF(OR(D194="",E194=""),"",IF(AND(D194="Y",E194="N"),"Yes","No"))</f>
        <v/>
      </c>
      <c r="I194" s="9">
        <f>IF(OR(D194="",E194=""),"",IF(OR(D194="N",E194="Y"),"Yes","No"))</f>
        <v/>
      </c>
      <c r="J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>
        <f>IF(OR(D195="",E195=""),"",IF(AND(D195="Y",E195="N"),"Yes","No"))</f>
        <v/>
      </c>
      <c r="I195" s="9">
        <f>IF(OR(D195="",E195=""),"",IF(OR(D195="N",E195="Y"),"Yes","No"))</f>
        <v/>
      </c>
      <c r="J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>
        <f>IF(OR(D196="",E196=""),"",IF(AND(D196="Y",E196="N"),"Yes","No"))</f>
        <v/>
      </c>
      <c r="I196" s="9">
        <f>IF(OR(D196="",E196=""),"",IF(OR(D196="N",E196="Y"),"Yes","No"))</f>
        <v/>
      </c>
      <c r="J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>
        <f>IF(OR(D197="",E197=""),"",IF(AND(D197="Y",E197="N"),"Yes","No"))</f>
        <v/>
      </c>
      <c r="I197" s="9">
        <f>IF(OR(D197="",E197=""),"",IF(OR(D197="N",E197="Y"),"Yes","No"))</f>
        <v/>
      </c>
      <c r="J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>
        <f>IF(OR(D198="",E198=""),"",IF(AND(D198="Y",E198="N"),"Yes","No"))</f>
        <v/>
      </c>
      <c r="I198" s="9">
        <f>IF(OR(D198="",E198=""),"",IF(OR(D198="N",E198="Y"),"Yes","No"))</f>
        <v/>
      </c>
      <c r="J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>
        <f>IF(OR(D199="",E199=""),"",IF(AND(D199="Y",E199="N"),"Yes","No"))</f>
        <v/>
      </c>
      <c r="I199" s="9">
        <f>IF(OR(D199="",E199=""),"",IF(OR(D199="N",E199="Y"),"Yes","No"))</f>
        <v/>
      </c>
      <c r="J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>
        <f>IF(OR(D200="",E200=""),"",IF(AND(D200="Y",E200="N"),"Yes","No"))</f>
        <v/>
      </c>
      <c r="I200" s="9">
        <f>IF(OR(D200="",E200=""),"",IF(OR(D200="N",E200="Y"),"Yes","No"))</f>
        <v/>
      </c>
      <c r="J200" s="9" t="n"/>
    </row>
  </sheetData>
  <mergeCells count="2">
    <mergeCell ref="A1:J1"/>
    <mergeCell ref="A2:J2"/>
  </mergeCells>
  <conditionalFormatting sqref="H5:H200">
    <cfRule type="expression" priority="1" dxfId="3">
      <formula>$H5="Yes"</formula>
    </cfRule>
  </conditionalFormatting>
  <conditionalFormatting sqref="I5:I200">
    <cfRule type="expression" priority="2" dxfId="1">
      <formula>$I5="Yes"</formula>
    </cfRule>
    <cfRule type="expression" priority="3" dxfId="3">
      <formula>$I5="No"</formula>
    </cfRule>
  </conditionalFormatting>
  <dataValidations count="2">
    <dataValidation sqref="C5:C200" showDropDown="0" showInputMessage="0" showErrorMessage="0" allowBlank="1" type="list">
      <formula1>"HbA1c control (DM),BP control (HTN),Nephropathy screening,Diabetic eye exam,Tobacco screening &amp; cessation,BMI screening &amp; follow-up,Depression screening &amp; follow-up,Fall risk assessment,Medication reconciliation post-discharge,Statin therapy CVD"</formula1>
    </dataValidation>
    <dataValidation sqref="D5:E200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40AF"/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24" customWidth="1" min="5" max="5"/>
    <col width="14" customWidth="1" min="6" max="6"/>
    <col width="14" customWidth="1" min="7" max="7"/>
    <col width="22" customWidth="1" min="8" max="8"/>
    <col width="16" customWidth="1" min="9" max="9"/>
  </cols>
  <sheetData>
    <row r="1" ht="30" customHeight="1">
      <c r="A1" s="1" t="inlineStr">
        <is>
          <t>Provider Monthly Scorecard</t>
        </is>
      </c>
    </row>
    <row r="2" ht="20" customHeight="1">
      <c r="A2" s="2" t="inlineStr">
        <is>
          <t>Auto-rolls up from Audit Worksheet. Score is the average of the provider's 10 chart totals.</t>
        </is>
      </c>
    </row>
    <row r="4">
      <c r="A4" s="7" t="inlineStr">
        <is>
          <t>Provider ID</t>
        </is>
      </c>
      <c r="B4" s="7" t="inlineStr">
        <is>
          <t>Provider Name</t>
        </is>
      </c>
      <c r="C4" s="7" t="inlineStr">
        <is>
          <t>Charts Audited</t>
        </is>
      </c>
      <c r="D4" s="7" t="inlineStr">
        <is>
          <t>Avg Total Score</t>
        </is>
      </c>
      <c r="E4" s="7" t="inlineStr">
        <is>
          <t>Performance Band</t>
        </is>
      </c>
      <c r="F4" s="7" t="inlineStr">
        <is>
          <t># Excellent</t>
        </is>
      </c>
      <c r="G4" s="7" t="inlineStr">
        <is>
          <t># Meets</t>
        </is>
      </c>
      <c r="H4" s="7" t="inlineStr">
        <is>
          <t># Needs Improvement</t>
        </is>
      </c>
      <c r="I4" s="7" t="inlineStr">
        <is>
          <t># Corrective</t>
        </is>
      </c>
    </row>
    <row r="5">
      <c r="A5" s="9" t="inlineStr">
        <is>
          <t>FM-001</t>
        </is>
      </c>
      <c r="B5" s="9">
        <f>IFERROR(VLOOKUP(A5,'Provider Roster'!A5:B30,2,FALSE),"")</f>
        <v/>
      </c>
      <c r="C5" s="9">
        <f>COUNTIFS('Audit Worksheet'!A5:A200,A5,'Audit Worksheet'!K5:K200,"&lt;&gt;")</f>
        <v/>
      </c>
      <c r="D5" s="9">
        <f>IFERROR(ROUND(AVERAGEIFS('Audit Worksheet'!K5:K200,'Audit Worksheet'!A5:A200,A5),1),"")</f>
        <v/>
      </c>
      <c r="E5" s="9">
        <f>IF(D5="","",IF(D5&gt;=95,"Excellent",IF(D5&gt;=90,"Meets Expectations",IF(D5&gt;=80,"Needs Improvement","Corrective Education Required"))))</f>
        <v/>
      </c>
      <c r="F5" s="9">
        <f>COUNTIFS('Audit Worksheet'!A5:A200,A5,'Audit Worksheet'!L5:L200,"Excellent")</f>
        <v/>
      </c>
      <c r="G5" s="9">
        <f>COUNTIFS('Audit Worksheet'!A5:A200,A5,'Audit Worksheet'!L5:L200,"Meets Expectations")</f>
        <v/>
      </c>
      <c r="H5" s="9">
        <f>COUNTIFS('Audit Worksheet'!A5:A200,A5,'Audit Worksheet'!L5:L200,"Needs Improvement")</f>
        <v/>
      </c>
      <c r="I5" s="9">
        <f>COUNTIFS('Audit Worksheet'!A5:A200,A5,'Audit Worksheet'!L5:L200,"Corrective Education Required")</f>
        <v/>
      </c>
    </row>
    <row r="6">
      <c r="A6" s="9" t="inlineStr">
        <is>
          <t>FM-002</t>
        </is>
      </c>
      <c r="B6" s="9">
        <f>IFERROR(VLOOKUP(A6,'Provider Roster'!A5:B30,2,FALSE),"")</f>
        <v/>
      </c>
      <c r="C6" s="9">
        <f>COUNTIFS('Audit Worksheet'!A5:A200,A6,'Audit Worksheet'!K5:K200,"&lt;&gt;")</f>
        <v/>
      </c>
      <c r="D6" s="9">
        <f>IFERROR(ROUND(AVERAGEIFS('Audit Worksheet'!K5:K200,'Audit Worksheet'!A5:A200,A6),1),"")</f>
        <v/>
      </c>
      <c r="E6" s="9">
        <f>IF(D6="","",IF(D6&gt;=95,"Excellent",IF(D6&gt;=90,"Meets Expectations",IF(D6&gt;=80,"Needs Improvement","Corrective Education Required"))))</f>
        <v/>
      </c>
      <c r="F6" s="9">
        <f>COUNTIFS('Audit Worksheet'!A5:A200,A6,'Audit Worksheet'!L5:L200,"Excellent")</f>
        <v/>
      </c>
      <c r="G6" s="9">
        <f>COUNTIFS('Audit Worksheet'!A5:A200,A6,'Audit Worksheet'!L5:L200,"Meets Expectations")</f>
        <v/>
      </c>
      <c r="H6" s="9">
        <f>COUNTIFS('Audit Worksheet'!A5:A200,A6,'Audit Worksheet'!L5:L200,"Needs Improvement")</f>
        <v/>
      </c>
      <c r="I6" s="9">
        <f>COUNTIFS('Audit Worksheet'!A5:A200,A6,'Audit Worksheet'!L5:L200,"Corrective Education Required")</f>
        <v/>
      </c>
    </row>
    <row r="7">
      <c r="A7" s="9" t="inlineStr">
        <is>
          <t>IM-001</t>
        </is>
      </c>
      <c r="B7" s="9">
        <f>IFERROR(VLOOKUP(A7,'Provider Roster'!A5:B30,2,FALSE),"")</f>
        <v/>
      </c>
      <c r="C7" s="9">
        <f>COUNTIFS('Audit Worksheet'!A5:A200,A7,'Audit Worksheet'!K5:K200,"&lt;&gt;")</f>
        <v/>
      </c>
      <c r="D7" s="9">
        <f>IFERROR(ROUND(AVERAGEIFS('Audit Worksheet'!K5:K200,'Audit Worksheet'!A5:A200,A7),1),"")</f>
        <v/>
      </c>
      <c r="E7" s="9">
        <f>IF(D7="","",IF(D7&gt;=95,"Excellent",IF(D7&gt;=90,"Meets Expectations",IF(D7&gt;=80,"Needs Improvement","Corrective Education Required"))))</f>
        <v/>
      </c>
      <c r="F7" s="9">
        <f>COUNTIFS('Audit Worksheet'!A5:A200,A7,'Audit Worksheet'!L5:L200,"Excellent")</f>
        <v/>
      </c>
      <c r="G7" s="9">
        <f>COUNTIFS('Audit Worksheet'!A5:A200,A7,'Audit Worksheet'!L5:L200,"Meets Expectations")</f>
        <v/>
      </c>
      <c r="H7" s="9">
        <f>COUNTIFS('Audit Worksheet'!A5:A200,A7,'Audit Worksheet'!L5:L200,"Needs Improvement")</f>
        <v/>
      </c>
      <c r="I7" s="9">
        <f>COUNTIFS('Audit Worksheet'!A5:A200,A7,'Audit Worksheet'!L5:L200,"Corrective Education Required")</f>
        <v/>
      </c>
    </row>
    <row r="8">
      <c r="A8" s="9" t="inlineStr">
        <is>
          <t>IM-002</t>
        </is>
      </c>
      <c r="B8" s="9">
        <f>IFERROR(VLOOKUP(A8,'Provider Roster'!A5:B30,2,FALSE),"")</f>
        <v/>
      </c>
      <c r="C8" s="9">
        <f>COUNTIFS('Audit Worksheet'!A5:A200,A8,'Audit Worksheet'!K5:K200,"&lt;&gt;")</f>
        <v/>
      </c>
      <c r="D8" s="9">
        <f>IFERROR(ROUND(AVERAGEIFS('Audit Worksheet'!K5:K200,'Audit Worksheet'!A5:A200,A8),1),"")</f>
        <v/>
      </c>
      <c r="E8" s="9">
        <f>IF(D8="","",IF(D8&gt;=95,"Excellent",IF(D8&gt;=90,"Meets Expectations",IF(D8&gt;=80,"Needs Improvement","Corrective Education Required"))))</f>
        <v/>
      </c>
      <c r="F8" s="9">
        <f>COUNTIFS('Audit Worksheet'!A5:A200,A8,'Audit Worksheet'!L5:L200,"Excellent")</f>
        <v/>
      </c>
      <c r="G8" s="9">
        <f>COUNTIFS('Audit Worksheet'!A5:A200,A8,'Audit Worksheet'!L5:L200,"Meets Expectations")</f>
        <v/>
      </c>
      <c r="H8" s="9">
        <f>COUNTIFS('Audit Worksheet'!A5:A200,A8,'Audit Worksheet'!L5:L200,"Needs Improvement")</f>
        <v/>
      </c>
      <c r="I8" s="9">
        <f>COUNTIFS('Audit Worksheet'!A5:A200,A8,'Audit Worksheet'!L5:L200,"Corrective Education Required")</f>
        <v/>
      </c>
    </row>
    <row r="9">
      <c r="A9" s="9" t="inlineStr">
        <is>
          <t>GM-001</t>
        </is>
      </c>
      <c r="B9" s="9">
        <f>IFERROR(VLOOKUP(A9,'Provider Roster'!A5:B30,2,FALSE),"")</f>
        <v/>
      </c>
      <c r="C9" s="9">
        <f>COUNTIFS('Audit Worksheet'!A5:A200,A9,'Audit Worksheet'!K5:K200,"&lt;&gt;")</f>
        <v/>
      </c>
      <c r="D9" s="9">
        <f>IFERROR(ROUND(AVERAGEIFS('Audit Worksheet'!K5:K200,'Audit Worksheet'!A5:A200,A9),1),"")</f>
        <v/>
      </c>
      <c r="E9" s="9">
        <f>IF(D9="","",IF(D9&gt;=95,"Excellent",IF(D9&gt;=90,"Meets Expectations",IF(D9&gt;=80,"Needs Improvement","Corrective Education Required"))))</f>
        <v/>
      </c>
      <c r="F9" s="9">
        <f>COUNTIFS('Audit Worksheet'!A5:A200,A9,'Audit Worksheet'!L5:L200,"Excellent")</f>
        <v/>
      </c>
      <c r="G9" s="9">
        <f>COUNTIFS('Audit Worksheet'!A5:A200,A9,'Audit Worksheet'!L5:L200,"Meets Expectations")</f>
        <v/>
      </c>
      <c r="H9" s="9">
        <f>COUNTIFS('Audit Worksheet'!A5:A200,A9,'Audit Worksheet'!L5:L200,"Needs Improvement")</f>
        <v/>
      </c>
      <c r="I9" s="9">
        <f>COUNTIFS('Audit Worksheet'!A5:A200,A9,'Audit Worksheet'!L5:L200,"Corrective Education Required")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</sheetData>
  <mergeCells count="2">
    <mergeCell ref="A1:I1"/>
    <mergeCell ref="A2:I2"/>
  </mergeCells>
  <conditionalFormatting sqref="D5:D30">
    <cfRule type="cellIs" priority="1" operator="greaterThanOrEqual" dxfId="0">
      <formula>95</formula>
    </cfRule>
    <cfRule type="cellIs" priority="2" operator="between" dxfId="1">
      <formula>90</formula>
      <formula>94.9</formula>
    </cfRule>
    <cfRule type="cellIs" priority="3" operator="between" dxfId="2">
      <formula>80</formula>
      <formula>89.9</formula>
    </cfRule>
    <cfRule type="cellIs" priority="4" operator="lessThan" dxfId="3">
      <formula>80</formula>
    </cfRule>
  </conditionalFormatting>
  <conditionalFormatting sqref="E5:E30">
    <cfRule type="expression" priority="5" dxfId="0">
      <formula>$E5="Excellent"</formula>
    </cfRule>
    <cfRule type="expression" priority="6" dxfId="1">
      <formula>$E5="Meets Expectations"</formula>
    </cfRule>
    <cfRule type="expression" priority="7" dxfId="2">
      <formula>$E5="Needs Improvement"</formula>
    </cfRule>
    <cfRule type="expression" priority="8" dxfId="3">
      <formula>$E5="Corrective Education Required"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40AF"/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  <col width="3" customWidth="1" min="4" max="4"/>
  </cols>
  <sheetData>
    <row r="1" ht="30" customHeight="1">
      <c r="A1" s="1" t="inlineStr">
        <is>
          <t>Monthly KPI Dashboard</t>
        </is>
      </c>
    </row>
    <row r="2" ht="20" customHeight="1">
      <c r="A2" s="2" t="inlineStr">
        <is>
          <t>Cycle-level metrics rolled up from all provider audits.</t>
        </is>
      </c>
    </row>
    <row r="4">
      <c r="B4" s="10" t="inlineStr">
        <is>
          <t>Metric</t>
        </is>
      </c>
      <c r="C4" s="7" t="inlineStr">
        <is>
          <t>Value</t>
        </is>
      </c>
    </row>
    <row r="5">
      <c r="B5" s="11" t="inlineStr">
        <is>
          <t>Providers audited</t>
        </is>
      </c>
      <c r="C5" s="9">
        <f>COUNTA('Provider Roster'!A5:A30)-COUNTBLANK('Provider Roster'!A5:A30)</f>
        <v/>
      </c>
    </row>
    <row r="6">
      <c r="B6" s="11" t="inlineStr">
        <is>
          <t>Total charts audited</t>
        </is>
      </c>
      <c r="C6" s="9">
        <f>COUNTA('Audit Worksheet'!A5:A200)</f>
        <v/>
      </c>
    </row>
    <row r="7">
      <c r="B7" s="11" t="inlineStr">
        <is>
          <t>Charts scored (complete)</t>
        </is>
      </c>
      <c r="C7" s="9">
        <f>COUNTIF('Audit Worksheet'!K5:K200,"&gt;0")</f>
        <v/>
      </c>
    </row>
    <row r="8">
      <c r="B8" s="11" t="inlineStr">
        <is>
          <t>Audit completion rate</t>
        </is>
      </c>
      <c r="C8" s="9">
        <f>IFERROR(ROUND(COUNTIF('Audit Worksheet'!K5:K200,"&gt;0")/COUNTA('Audit Worksheet'!A5:A200),3),"")</f>
        <v/>
      </c>
    </row>
    <row r="9">
      <c r="B9" s="11" t="inlineStr">
        <is>
          <t>Average total score (all charts)</t>
        </is>
      </c>
      <c r="C9" s="9">
        <f>IFERROR(ROUND(AVERAGE('Audit Worksheet'!K5:K200),1),"")</f>
        <v/>
      </c>
    </row>
    <row r="10">
      <c r="B10" s="11" t="inlineStr">
        <is>
          <t>Charts — Excellent</t>
        </is>
      </c>
      <c r="C10" s="9">
        <f>COUNTIF('Audit Worksheet'!L5:L200,"Excellent")</f>
        <v/>
      </c>
    </row>
    <row r="11">
      <c r="B11" s="11" t="inlineStr">
        <is>
          <t>Charts — Meets Expectations</t>
        </is>
      </c>
      <c r="C11" s="9">
        <f>COUNTIF('Audit Worksheet'!L5:L200,"Meets Expectations")</f>
        <v/>
      </c>
    </row>
    <row r="12">
      <c r="B12" s="11" t="inlineStr">
        <is>
          <t>Charts — Needs Improvement</t>
        </is>
      </c>
      <c r="C12" s="9">
        <f>COUNTIF('Audit Worksheet'!L5:L200,"Needs Improvement")</f>
        <v/>
      </c>
    </row>
    <row r="13">
      <c r="B13" s="11" t="inlineStr">
        <is>
          <t>Charts — Corrective Required</t>
        </is>
      </c>
      <c r="C13" s="9">
        <f>COUNTIF('Audit Worksheet'!L5:L200,"Corrective Education Required")</f>
        <v/>
      </c>
    </row>
    <row r="14">
      <c r="B14" s="11" t="inlineStr">
        <is>
          <t>Providers below 80%</t>
        </is>
      </c>
      <c r="C14" s="9">
        <f>COUNTIF(Scorecard!D5:D30,"&lt;80")</f>
        <v/>
      </c>
    </row>
    <row r="15">
      <c r="B15" s="11" t="inlineStr">
        <is>
          <t>Missed HCC opportunities</t>
        </is>
      </c>
      <c r="C15" s="9">
        <f>SUM('HCC-RAF Tracker'!I5:I200)</f>
        <v/>
      </c>
    </row>
    <row r="16">
      <c r="B16" s="11" t="inlineStr">
        <is>
          <t>New HCCs captured</t>
        </is>
      </c>
      <c r="C16" s="9">
        <f>SUM('HCC-RAF Tracker'!H5:H200)</f>
        <v/>
      </c>
    </row>
    <row r="17">
      <c r="B17" s="11" t="inlineStr">
        <is>
          <t>Suspected undocumented HCCs</t>
        </is>
      </c>
      <c r="C17" s="9">
        <f>SUM('HCC-RAF Tracker'!G5:G200)</f>
        <v/>
      </c>
    </row>
    <row r="18">
      <c r="B18" s="11" t="inlineStr">
        <is>
          <t>Avg RAF delta</t>
        </is>
      </c>
      <c r="C18" s="9">
        <f>IFERROR(ROUND(AVERAGE('HCC-RAF Tracker'!L5:L200),3),"")</f>
        <v/>
      </c>
    </row>
    <row r="19">
      <c r="B19" s="11" t="inlineStr">
        <is>
          <t>CPT II gaps identified</t>
        </is>
      </c>
      <c r="C19" s="9">
        <f>COUNTIF('CPT II Tracker'!H5:H200,"Yes")</f>
        <v/>
      </c>
    </row>
    <row r="20">
      <c r="B20" s="11" t="inlineStr">
        <is>
          <t>CPT II compliant charts</t>
        </is>
      </c>
      <c r="C20" s="9">
        <f>COUNTIF('CPT II Tracker'!I5:I200,"Yes")</f>
        <v/>
      </c>
    </row>
    <row r="21">
      <c r="B21" s="11" t="inlineStr">
        <is>
          <t>MEAT-supported diagnoses</t>
        </is>
      </c>
      <c r="C21" s="9">
        <f>COUNTIF('MEAT Checklist'!J5:J200,"Yes")</f>
        <v/>
      </c>
    </row>
    <row r="22">
      <c r="B22" s="11" t="inlineStr">
        <is>
          <t>MEAT-unsupported diagnoses</t>
        </is>
      </c>
      <c r="C22" s="9">
        <f>COUNTIF('MEAT Checklist'!J5:J200,"No")</f>
        <v/>
      </c>
    </row>
    <row r="25">
      <c r="B25" s="5" t="inlineStr">
        <is>
          <t>Six-Month Targets</t>
        </is>
      </c>
    </row>
    <row r="26">
      <c r="B26" s="12" t="inlineStr">
        <is>
          <t>Target</t>
        </is>
      </c>
      <c r="C26" s="7" t="inlineStr">
        <is>
          <t>Goal</t>
        </is>
      </c>
    </row>
    <row r="27">
      <c r="B27" s="13" t="inlineStr">
        <is>
          <t>Reduce unspecified diagnosis usage</t>
        </is>
      </c>
      <c r="C27" s="14" t="inlineStr">
        <is>
          <t>-25%</t>
        </is>
      </c>
    </row>
    <row r="28">
      <c r="B28" s="13" t="inlineStr">
        <is>
          <t>Increase HCC specificity</t>
        </is>
      </c>
      <c r="C28" s="14" t="inlineStr">
        <is>
          <t>+20%</t>
        </is>
      </c>
    </row>
    <row r="29">
      <c r="B29" s="13" t="inlineStr">
        <is>
          <t>Increase CPT II reporting compliance</t>
        </is>
      </c>
      <c r="C29" s="14" t="inlineStr">
        <is>
          <t>+15%</t>
        </is>
      </c>
    </row>
    <row r="30">
      <c r="B30" s="13" t="inlineStr">
        <is>
          <t>Audit completion rate</t>
        </is>
      </c>
      <c r="C30" s="14" t="inlineStr">
        <is>
          <t>100%</t>
        </is>
      </c>
    </row>
    <row r="31">
      <c r="B31" s="13" t="inlineStr">
        <is>
          <t>Monthly provider education sessions</t>
        </is>
      </c>
      <c r="C31" s="14" t="inlineStr">
        <is>
          <t>Delivered</t>
        </is>
      </c>
    </row>
    <row r="32">
      <c r="B32" s="13" t="inlineStr">
        <is>
          <t>Average provider audit score</t>
        </is>
      </c>
      <c r="C32" s="14" t="inlineStr">
        <is>
          <t>&gt;= 90%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45309"/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0" customWidth="1" min="4" max="4"/>
    <col width="30" customWidth="1" min="5" max="5"/>
    <col width="34" customWidth="1" min="6" max="6"/>
    <col width="16" customWidth="1" min="7" max="7"/>
    <col width="18" customWidth="1" min="8" max="8"/>
    <col width="14" customWidth="1" min="9" max="9"/>
    <col width="22" customWidth="1" min="10" max="10"/>
  </cols>
  <sheetData>
    <row r="1" ht="30" customHeight="1">
      <c r="A1" s="1" t="inlineStr">
        <is>
          <t>Corrective Action &amp; Re-Audit Tracker</t>
        </is>
      </c>
    </row>
    <row r="2" ht="20" customHeight="1">
      <c r="A2" s="2" t="inlineStr">
        <is>
          <t>Providers scoring below 80% or with recurring deficiencies. Re-audit within 60–90 days.</t>
        </is>
      </c>
    </row>
    <row r="4">
      <c r="A4" s="7" t="inlineStr">
        <is>
          <t>Provider ID</t>
        </is>
      </c>
      <c r="B4" s="7" t="inlineStr">
        <is>
          <t>Provider Name</t>
        </is>
      </c>
      <c r="C4" s="7" t="inlineStr">
        <is>
          <t>Audit Month</t>
        </is>
      </c>
      <c r="D4" s="7" t="inlineStr">
        <is>
          <t>Score</t>
        </is>
      </c>
      <c r="E4" s="7" t="inlineStr">
        <is>
          <t>Deficiency Focus</t>
        </is>
      </c>
      <c r="F4" s="7" t="inlineStr">
        <is>
          <t>Education Plan</t>
        </is>
      </c>
      <c r="G4" s="7" t="inlineStr">
        <is>
          <t>Education Date</t>
        </is>
      </c>
      <c r="H4" s="7" t="inlineStr">
        <is>
          <t>Re-Audit Due Date</t>
        </is>
      </c>
      <c r="I4" s="7" t="inlineStr">
        <is>
          <t>Re-Audit Score</t>
        </is>
      </c>
      <c r="J4" s="7" t="inlineStr">
        <is>
          <t>Status</t>
        </is>
      </c>
    </row>
    <row r="5">
      <c r="A5" s="9" t="n"/>
      <c r="B5" s="9" t="n"/>
      <c r="C5" s="9" t="n"/>
      <c r="D5" s="9" t="n"/>
      <c r="E5" s="8" t="n"/>
      <c r="F5" s="8" t="n"/>
      <c r="G5" s="9" t="n"/>
      <c r="H5" s="9" t="n"/>
      <c r="I5" s="9" t="n"/>
      <c r="J5" s="9" t="n"/>
    </row>
    <row r="6">
      <c r="A6" s="9" t="n"/>
      <c r="B6" s="9" t="n"/>
      <c r="C6" s="9" t="n"/>
      <c r="D6" s="9" t="n"/>
      <c r="E6" s="8" t="n"/>
      <c r="F6" s="8" t="n"/>
      <c r="G6" s="9" t="n"/>
      <c r="H6" s="9" t="n"/>
      <c r="I6" s="9" t="n"/>
      <c r="J6" s="9" t="n"/>
    </row>
    <row r="7">
      <c r="A7" s="9" t="n"/>
      <c r="B7" s="9" t="n"/>
      <c r="C7" s="9" t="n"/>
      <c r="D7" s="9" t="n"/>
      <c r="E7" s="8" t="n"/>
      <c r="F7" s="8" t="n"/>
      <c r="G7" s="9" t="n"/>
      <c r="H7" s="9" t="n"/>
      <c r="I7" s="9" t="n"/>
      <c r="J7" s="9" t="n"/>
    </row>
    <row r="8">
      <c r="A8" s="9" t="n"/>
      <c r="B8" s="9" t="n"/>
      <c r="C8" s="9" t="n"/>
      <c r="D8" s="9" t="n"/>
      <c r="E8" s="8" t="n"/>
      <c r="F8" s="8" t="n"/>
      <c r="G8" s="9" t="n"/>
      <c r="H8" s="9" t="n"/>
      <c r="I8" s="9" t="n"/>
      <c r="J8" s="9" t="n"/>
    </row>
    <row r="9">
      <c r="A9" s="9" t="n"/>
      <c r="B9" s="9" t="n"/>
      <c r="C9" s="9" t="n"/>
      <c r="D9" s="9" t="n"/>
      <c r="E9" s="8" t="n"/>
      <c r="F9" s="8" t="n"/>
      <c r="G9" s="9" t="n"/>
      <c r="H9" s="9" t="n"/>
      <c r="I9" s="9" t="n"/>
      <c r="J9" s="9" t="n"/>
    </row>
    <row r="10">
      <c r="A10" s="9" t="n"/>
      <c r="B10" s="9" t="n"/>
      <c r="C10" s="9" t="n"/>
      <c r="D10" s="9" t="n"/>
      <c r="E10" s="8" t="n"/>
      <c r="F10" s="8" t="n"/>
      <c r="G10" s="9" t="n"/>
      <c r="H10" s="9" t="n"/>
      <c r="I10" s="9" t="n"/>
      <c r="J10" s="9" t="n"/>
    </row>
    <row r="11">
      <c r="A11" s="9" t="n"/>
      <c r="B11" s="9" t="n"/>
      <c r="C11" s="9" t="n"/>
      <c r="D11" s="9" t="n"/>
      <c r="E11" s="8" t="n"/>
      <c r="F11" s="8" t="n"/>
      <c r="G11" s="9" t="n"/>
      <c r="H11" s="9" t="n"/>
      <c r="I11" s="9" t="n"/>
      <c r="J11" s="9" t="n"/>
    </row>
    <row r="12">
      <c r="A12" s="9" t="n"/>
      <c r="B12" s="9" t="n"/>
      <c r="C12" s="9" t="n"/>
      <c r="D12" s="9" t="n"/>
      <c r="E12" s="8" t="n"/>
      <c r="F12" s="8" t="n"/>
      <c r="G12" s="9" t="n"/>
      <c r="H12" s="9" t="n"/>
      <c r="I12" s="9" t="n"/>
      <c r="J12" s="9" t="n"/>
    </row>
    <row r="13">
      <c r="A13" s="9" t="n"/>
      <c r="B13" s="9" t="n"/>
      <c r="C13" s="9" t="n"/>
      <c r="D13" s="9" t="n"/>
      <c r="E13" s="8" t="n"/>
      <c r="F13" s="8" t="n"/>
      <c r="G13" s="9" t="n"/>
      <c r="H13" s="9" t="n"/>
      <c r="I13" s="9" t="n"/>
      <c r="J13" s="9" t="n"/>
    </row>
    <row r="14">
      <c r="A14" s="9" t="n"/>
      <c r="B14" s="9" t="n"/>
      <c r="C14" s="9" t="n"/>
      <c r="D14" s="9" t="n"/>
      <c r="E14" s="8" t="n"/>
      <c r="F14" s="8" t="n"/>
      <c r="G14" s="9" t="n"/>
      <c r="H14" s="9" t="n"/>
      <c r="I14" s="9" t="n"/>
      <c r="J14" s="9" t="n"/>
    </row>
    <row r="15">
      <c r="A15" s="9" t="n"/>
      <c r="B15" s="9" t="n"/>
      <c r="C15" s="9" t="n"/>
      <c r="D15" s="9" t="n"/>
      <c r="E15" s="8" t="n"/>
      <c r="F15" s="8" t="n"/>
      <c r="G15" s="9" t="n"/>
      <c r="H15" s="9" t="n"/>
      <c r="I15" s="9" t="n"/>
      <c r="J15" s="9" t="n"/>
    </row>
    <row r="16">
      <c r="A16" s="9" t="n"/>
      <c r="B16" s="9" t="n"/>
      <c r="C16" s="9" t="n"/>
      <c r="D16" s="9" t="n"/>
      <c r="E16" s="8" t="n"/>
      <c r="F16" s="8" t="n"/>
      <c r="G16" s="9" t="n"/>
      <c r="H16" s="9" t="n"/>
      <c r="I16" s="9" t="n"/>
      <c r="J16" s="9" t="n"/>
    </row>
    <row r="17">
      <c r="A17" s="9" t="n"/>
      <c r="B17" s="9" t="n"/>
      <c r="C17" s="9" t="n"/>
      <c r="D17" s="9" t="n"/>
      <c r="E17" s="8" t="n"/>
      <c r="F17" s="8" t="n"/>
      <c r="G17" s="9" t="n"/>
      <c r="H17" s="9" t="n"/>
      <c r="I17" s="9" t="n"/>
      <c r="J17" s="9" t="n"/>
    </row>
    <row r="18">
      <c r="A18" s="9" t="n"/>
      <c r="B18" s="9" t="n"/>
      <c r="C18" s="9" t="n"/>
      <c r="D18" s="9" t="n"/>
      <c r="E18" s="8" t="n"/>
      <c r="F18" s="8" t="n"/>
      <c r="G18" s="9" t="n"/>
      <c r="H18" s="9" t="n"/>
      <c r="I18" s="9" t="n"/>
      <c r="J18" s="9" t="n"/>
    </row>
    <row r="19">
      <c r="A19" s="9" t="n"/>
      <c r="B19" s="9" t="n"/>
      <c r="C19" s="9" t="n"/>
      <c r="D19" s="9" t="n"/>
      <c r="E19" s="8" t="n"/>
      <c r="F19" s="8" t="n"/>
      <c r="G19" s="9" t="n"/>
      <c r="H19" s="9" t="n"/>
      <c r="I19" s="9" t="n"/>
      <c r="J19" s="9" t="n"/>
    </row>
    <row r="20">
      <c r="A20" s="9" t="n"/>
      <c r="B20" s="9" t="n"/>
      <c r="C20" s="9" t="n"/>
      <c r="D20" s="9" t="n"/>
      <c r="E20" s="8" t="n"/>
      <c r="F20" s="8" t="n"/>
      <c r="G20" s="9" t="n"/>
      <c r="H20" s="9" t="n"/>
      <c r="I20" s="9" t="n"/>
      <c r="J20" s="9" t="n"/>
    </row>
    <row r="21">
      <c r="A21" s="9" t="n"/>
      <c r="B21" s="9" t="n"/>
      <c r="C21" s="9" t="n"/>
      <c r="D21" s="9" t="n"/>
      <c r="E21" s="8" t="n"/>
      <c r="F21" s="8" t="n"/>
      <c r="G21" s="9" t="n"/>
      <c r="H21" s="9" t="n"/>
      <c r="I21" s="9" t="n"/>
      <c r="J21" s="9" t="n"/>
    </row>
    <row r="22">
      <c r="A22" s="9" t="n"/>
      <c r="B22" s="9" t="n"/>
      <c r="C22" s="9" t="n"/>
      <c r="D22" s="9" t="n"/>
      <c r="E22" s="8" t="n"/>
      <c r="F22" s="8" t="n"/>
      <c r="G22" s="9" t="n"/>
      <c r="H22" s="9" t="n"/>
      <c r="I22" s="9" t="n"/>
      <c r="J22" s="9" t="n"/>
    </row>
    <row r="23">
      <c r="A23" s="9" t="n"/>
      <c r="B23" s="9" t="n"/>
      <c r="C23" s="9" t="n"/>
      <c r="D23" s="9" t="n"/>
      <c r="E23" s="8" t="n"/>
      <c r="F23" s="8" t="n"/>
      <c r="G23" s="9" t="n"/>
      <c r="H23" s="9" t="n"/>
      <c r="I23" s="9" t="n"/>
      <c r="J23" s="9" t="n"/>
    </row>
    <row r="24">
      <c r="A24" s="9" t="n"/>
      <c r="B24" s="9" t="n"/>
      <c r="C24" s="9" t="n"/>
      <c r="D24" s="9" t="n"/>
      <c r="E24" s="8" t="n"/>
      <c r="F24" s="8" t="n"/>
      <c r="G24" s="9" t="n"/>
      <c r="H24" s="9" t="n"/>
      <c r="I24" s="9" t="n"/>
      <c r="J24" s="9" t="n"/>
    </row>
    <row r="25">
      <c r="A25" s="9" t="n"/>
      <c r="B25" s="9" t="n"/>
      <c r="C25" s="9" t="n"/>
      <c r="D25" s="9" t="n"/>
      <c r="E25" s="8" t="n"/>
      <c r="F25" s="8" t="n"/>
      <c r="G25" s="9" t="n"/>
      <c r="H25" s="9" t="n"/>
      <c r="I25" s="9" t="n"/>
      <c r="J25" s="9" t="n"/>
    </row>
    <row r="26">
      <c r="A26" s="9" t="n"/>
      <c r="B26" s="9" t="n"/>
      <c r="C26" s="9" t="n"/>
      <c r="D26" s="9" t="n"/>
      <c r="E26" s="8" t="n"/>
      <c r="F26" s="8" t="n"/>
      <c r="G26" s="9" t="n"/>
      <c r="H26" s="9" t="n"/>
      <c r="I26" s="9" t="n"/>
      <c r="J26" s="9" t="n"/>
    </row>
    <row r="27">
      <c r="A27" s="9" t="n"/>
      <c r="B27" s="9" t="n"/>
      <c r="C27" s="9" t="n"/>
      <c r="D27" s="9" t="n"/>
      <c r="E27" s="8" t="n"/>
      <c r="F27" s="8" t="n"/>
      <c r="G27" s="9" t="n"/>
      <c r="H27" s="9" t="n"/>
      <c r="I27" s="9" t="n"/>
      <c r="J27" s="9" t="n"/>
    </row>
    <row r="28">
      <c r="A28" s="9" t="n"/>
      <c r="B28" s="9" t="n"/>
      <c r="C28" s="9" t="n"/>
      <c r="D28" s="9" t="n"/>
      <c r="E28" s="8" t="n"/>
      <c r="F28" s="8" t="n"/>
      <c r="G28" s="9" t="n"/>
      <c r="H28" s="9" t="n"/>
      <c r="I28" s="9" t="n"/>
      <c r="J28" s="9" t="n"/>
    </row>
    <row r="29">
      <c r="A29" s="9" t="n"/>
      <c r="B29" s="9" t="n"/>
      <c r="C29" s="9" t="n"/>
      <c r="D29" s="9" t="n"/>
      <c r="E29" s="8" t="n"/>
      <c r="F29" s="8" t="n"/>
      <c r="G29" s="9" t="n"/>
      <c r="H29" s="9" t="n"/>
      <c r="I29" s="9" t="n"/>
      <c r="J29" s="9" t="n"/>
    </row>
    <row r="30">
      <c r="A30" s="9" t="n"/>
      <c r="B30" s="9" t="n"/>
      <c r="C30" s="9" t="n"/>
      <c r="D30" s="9" t="n"/>
      <c r="E30" s="8" t="n"/>
      <c r="F30" s="8" t="n"/>
      <c r="G30" s="9" t="n"/>
      <c r="H30" s="9" t="n"/>
      <c r="I30" s="9" t="n"/>
      <c r="J30" s="9" t="n"/>
    </row>
    <row r="31">
      <c r="A31" s="9" t="n"/>
      <c r="B31" s="9" t="n"/>
      <c r="C31" s="9" t="n"/>
      <c r="D31" s="9" t="n"/>
      <c r="E31" s="8" t="n"/>
      <c r="F31" s="8" t="n"/>
      <c r="G31" s="9" t="n"/>
      <c r="H31" s="9" t="n"/>
      <c r="I31" s="9" t="n"/>
      <c r="J31" s="9" t="n"/>
    </row>
    <row r="32">
      <c r="A32" s="9" t="n"/>
      <c r="B32" s="9" t="n"/>
      <c r="C32" s="9" t="n"/>
      <c r="D32" s="9" t="n"/>
      <c r="E32" s="8" t="n"/>
      <c r="F32" s="8" t="n"/>
      <c r="G32" s="9" t="n"/>
      <c r="H32" s="9" t="n"/>
      <c r="I32" s="9" t="n"/>
      <c r="J32" s="9" t="n"/>
    </row>
    <row r="33">
      <c r="A33" s="9" t="n"/>
      <c r="B33" s="9" t="n"/>
      <c r="C33" s="9" t="n"/>
      <c r="D33" s="9" t="n"/>
      <c r="E33" s="8" t="n"/>
      <c r="F33" s="8" t="n"/>
      <c r="G33" s="9" t="n"/>
      <c r="H33" s="9" t="n"/>
      <c r="I33" s="9" t="n"/>
      <c r="J33" s="9" t="n"/>
    </row>
    <row r="34">
      <c r="A34" s="9" t="n"/>
      <c r="B34" s="9" t="n"/>
      <c r="C34" s="9" t="n"/>
      <c r="D34" s="9" t="n"/>
      <c r="E34" s="8" t="n"/>
      <c r="F34" s="8" t="n"/>
      <c r="G34" s="9" t="n"/>
      <c r="H34" s="9" t="n"/>
      <c r="I34" s="9" t="n"/>
      <c r="J34" s="9" t="n"/>
    </row>
    <row r="35">
      <c r="A35" s="9" t="n"/>
      <c r="B35" s="9" t="n"/>
      <c r="C35" s="9" t="n"/>
      <c r="D35" s="9" t="n"/>
      <c r="E35" s="8" t="n"/>
      <c r="F35" s="8" t="n"/>
      <c r="G35" s="9" t="n"/>
      <c r="H35" s="9" t="n"/>
      <c r="I35" s="9" t="n"/>
      <c r="J35" s="9" t="n"/>
    </row>
    <row r="36">
      <c r="A36" s="9" t="n"/>
      <c r="B36" s="9" t="n"/>
      <c r="C36" s="9" t="n"/>
      <c r="D36" s="9" t="n"/>
      <c r="E36" s="8" t="n"/>
      <c r="F36" s="8" t="n"/>
      <c r="G36" s="9" t="n"/>
      <c r="H36" s="9" t="n"/>
      <c r="I36" s="9" t="n"/>
      <c r="J36" s="9" t="n"/>
    </row>
    <row r="37">
      <c r="A37" s="9" t="n"/>
      <c r="B37" s="9" t="n"/>
      <c r="C37" s="9" t="n"/>
      <c r="D37" s="9" t="n"/>
      <c r="E37" s="8" t="n"/>
      <c r="F37" s="8" t="n"/>
      <c r="G37" s="9" t="n"/>
      <c r="H37" s="9" t="n"/>
      <c r="I37" s="9" t="n"/>
      <c r="J37" s="9" t="n"/>
    </row>
    <row r="38">
      <c r="A38" s="9" t="n"/>
      <c r="B38" s="9" t="n"/>
      <c r="C38" s="9" t="n"/>
      <c r="D38" s="9" t="n"/>
      <c r="E38" s="8" t="n"/>
      <c r="F38" s="8" t="n"/>
      <c r="G38" s="9" t="n"/>
      <c r="H38" s="9" t="n"/>
      <c r="I38" s="9" t="n"/>
      <c r="J38" s="9" t="n"/>
    </row>
    <row r="39">
      <c r="A39" s="9" t="n"/>
      <c r="B39" s="9" t="n"/>
      <c r="C39" s="9" t="n"/>
      <c r="D39" s="9" t="n"/>
      <c r="E39" s="8" t="n"/>
      <c r="F39" s="8" t="n"/>
      <c r="G39" s="9" t="n"/>
      <c r="H39" s="9" t="n"/>
      <c r="I39" s="9" t="n"/>
      <c r="J39" s="9" t="n"/>
    </row>
    <row r="40">
      <c r="A40" s="9" t="n"/>
      <c r="B40" s="9" t="n"/>
      <c r="C40" s="9" t="n"/>
      <c r="D40" s="9" t="n"/>
      <c r="E40" s="8" t="n"/>
      <c r="F40" s="8" t="n"/>
      <c r="G40" s="9" t="n"/>
      <c r="H40" s="9" t="n"/>
      <c r="I40" s="9" t="n"/>
      <c r="J40" s="9" t="n"/>
    </row>
    <row r="41">
      <c r="A41" s="9" t="n"/>
      <c r="B41" s="9" t="n"/>
      <c r="C41" s="9" t="n"/>
      <c r="D41" s="9" t="n"/>
      <c r="E41" s="8" t="n"/>
      <c r="F41" s="8" t="n"/>
      <c r="G41" s="9" t="n"/>
      <c r="H41" s="9" t="n"/>
      <c r="I41" s="9" t="n"/>
      <c r="J41" s="9" t="n"/>
    </row>
    <row r="42">
      <c r="A42" s="9" t="n"/>
      <c r="B42" s="9" t="n"/>
      <c r="C42" s="9" t="n"/>
      <c r="D42" s="9" t="n"/>
      <c r="E42" s="8" t="n"/>
      <c r="F42" s="8" t="n"/>
      <c r="G42" s="9" t="n"/>
      <c r="H42" s="9" t="n"/>
      <c r="I42" s="9" t="n"/>
      <c r="J42" s="9" t="n"/>
    </row>
    <row r="43">
      <c r="A43" s="9" t="n"/>
      <c r="B43" s="9" t="n"/>
      <c r="C43" s="9" t="n"/>
      <c r="D43" s="9" t="n"/>
      <c r="E43" s="8" t="n"/>
      <c r="F43" s="8" t="n"/>
      <c r="G43" s="9" t="n"/>
      <c r="H43" s="9" t="n"/>
      <c r="I43" s="9" t="n"/>
      <c r="J43" s="9" t="n"/>
    </row>
    <row r="44">
      <c r="A44" s="9" t="n"/>
      <c r="B44" s="9" t="n"/>
      <c r="C44" s="9" t="n"/>
      <c r="D44" s="9" t="n"/>
      <c r="E44" s="8" t="n"/>
      <c r="F44" s="8" t="n"/>
      <c r="G44" s="9" t="n"/>
      <c r="H44" s="9" t="n"/>
      <c r="I44" s="9" t="n"/>
      <c r="J44" s="9" t="n"/>
    </row>
    <row r="45">
      <c r="A45" s="9" t="n"/>
      <c r="B45" s="9" t="n"/>
      <c r="C45" s="9" t="n"/>
      <c r="D45" s="9" t="n"/>
      <c r="E45" s="8" t="n"/>
      <c r="F45" s="8" t="n"/>
      <c r="G45" s="9" t="n"/>
      <c r="H45" s="9" t="n"/>
      <c r="I45" s="9" t="n"/>
      <c r="J45" s="9" t="n"/>
    </row>
    <row r="46">
      <c r="A46" s="9" t="n"/>
      <c r="B46" s="9" t="n"/>
      <c r="C46" s="9" t="n"/>
      <c r="D46" s="9" t="n"/>
      <c r="E46" s="8" t="n"/>
      <c r="F46" s="8" t="n"/>
      <c r="G46" s="9" t="n"/>
      <c r="H46" s="9" t="n"/>
      <c r="I46" s="9" t="n"/>
      <c r="J46" s="9" t="n"/>
    </row>
    <row r="47">
      <c r="A47" s="9" t="n"/>
      <c r="B47" s="9" t="n"/>
      <c r="C47" s="9" t="n"/>
      <c r="D47" s="9" t="n"/>
      <c r="E47" s="8" t="n"/>
      <c r="F47" s="8" t="n"/>
      <c r="G47" s="9" t="n"/>
      <c r="H47" s="9" t="n"/>
      <c r="I47" s="9" t="n"/>
      <c r="J47" s="9" t="n"/>
    </row>
    <row r="48">
      <c r="A48" s="9" t="n"/>
      <c r="B48" s="9" t="n"/>
      <c r="C48" s="9" t="n"/>
      <c r="D48" s="9" t="n"/>
      <c r="E48" s="8" t="n"/>
      <c r="F48" s="8" t="n"/>
      <c r="G48" s="9" t="n"/>
      <c r="H48" s="9" t="n"/>
      <c r="I48" s="9" t="n"/>
      <c r="J48" s="9" t="n"/>
    </row>
    <row r="49">
      <c r="A49" s="9" t="n"/>
      <c r="B49" s="9" t="n"/>
      <c r="C49" s="9" t="n"/>
      <c r="D49" s="9" t="n"/>
      <c r="E49" s="8" t="n"/>
      <c r="F49" s="8" t="n"/>
      <c r="G49" s="9" t="n"/>
      <c r="H49" s="9" t="n"/>
      <c r="I49" s="9" t="n"/>
      <c r="J49" s="9" t="n"/>
    </row>
    <row r="50">
      <c r="A50" s="9" t="n"/>
      <c r="B50" s="9" t="n"/>
      <c r="C50" s="9" t="n"/>
      <c r="D50" s="9" t="n"/>
      <c r="E50" s="8" t="n"/>
      <c r="F50" s="8" t="n"/>
      <c r="G50" s="9" t="n"/>
      <c r="H50" s="9" t="n"/>
      <c r="I50" s="9" t="n"/>
      <c r="J50" s="9" t="n"/>
    </row>
    <row r="51">
      <c r="A51" s="9" t="n"/>
      <c r="B51" s="9" t="n"/>
      <c r="C51" s="9" t="n"/>
      <c r="D51" s="9" t="n"/>
      <c r="E51" s="8" t="n"/>
      <c r="F51" s="8" t="n"/>
      <c r="G51" s="9" t="n"/>
      <c r="H51" s="9" t="n"/>
      <c r="I51" s="9" t="n"/>
      <c r="J51" s="9" t="n"/>
    </row>
    <row r="52">
      <c r="A52" s="9" t="n"/>
      <c r="B52" s="9" t="n"/>
      <c r="C52" s="9" t="n"/>
      <c r="D52" s="9" t="n"/>
      <c r="E52" s="8" t="n"/>
      <c r="F52" s="8" t="n"/>
      <c r="G52" s="9" t="n"/>
      <c r="H52" s="9" t="n"/>
      <c r="I52" s="9" t="n"/>
      <c r="J52" s="9" t="n"/>
    </row>
    <row r="53">
      <c r="A53" s="9" t="n"/>
      <c r="B53" s="9" t="n"/>
      <c r="C53" s="9" t="n"/>
      <c r="D53" s="9" t="n"/>
      <c r="E53" s="8" t="n"/>
      <c r="F53" s="8" t="n"/>
      <c r="G53" s="9" t="n"/>
      <c r="H53" s="9" t="n"/>
      <c r="I53" s="9" t="n"/>
      <c r="J53" s="9" t="n"/>
    </row>
    <row r="54">
      <c r="A54" s="9" t="n"/>
      <c r="B54" s="9" t="n"/>
      <c r="C54" s="9" t="n"/>
      <c r="D54" s="9" t="n"/>
      <c r="E54" s="8" t="n"/>
      <c r="F54" s="8" t="n"/>
      <c r="G54" s="9" t="n"/>
      <c r="H54" s="9" t="n"/>
      <c r="I54" s="9" t="n"/>
      <c r="J54" s="9" t="n"/>
    </row>
    <row r="55">
      <c r="A55" s="9" t="n"/>
      <c r="B55" s="9" t="n"/>
      <c r="C55" s="9" t="n"/>
      <c r="D55" s="9" t="n"/>
      <c r="E55" s="8" t="n"/>
      <c r="F55" s="8" t="n"/>
      <c r="G55" s="9" t="n"/>
      <c r="H55" s="9" t="n"/>
      <c r="I55" s="9" t="n"/>
      <c r="J55" s="9" t="n"/>
    </row>
    <row r="56">
      <c r="A56" s="9" t="n"/>
      <c r="B56" s="9" t="n"/>
      <c r="C56" s="9" t="n"/>
      <c r="D56" s="9" t="n"/>
      <c r="E56" s="8" t="n"/>
      <c r="F56" s="8" t="n"/>
      <c r="G56" s="9" t="n"/>
      <c r="H56" s="9" t="n"/>
      <c r="I56" s="9" t="n"/>
      <c r="J56" s="9" t="n"/>
    </row>
    <row r="57">
      <c r="A57" s="9" t="n"/>
      <c r="B57" s="9" t="n"/>
      <c r="C57" s="9" t="n"/>
      <c r="D57" s="9" t="n"/>
      <c r="E57" s="8" t="n"/>
      <c r="F57" s="8" t="n"/>
      <c r="G57" s="9" t="n"/>
      <c r="H57" s="9" t="n"/>
      <c r="I57" s="9" t="n"/>
      <c r="J57" s="9" t="n"/>
    </row>
    <row r="58">
      <c r="A58" s="9" t="n"/>
      <c r="B58" s="9" t="n"/>
      <c r="C58" s="9" t="n"/>
      <c r="D58" s="9" t="n"/>
      <c r="E58" s="8" t="n"/>
      <c r="F58" s="8" t="n"/>
      <c r="G58" s="9" t="n"/>
      <c r="H58" s="9" t="n"/>
      <c r="I58" s="9" t="n"/>
      <c r="J58" s="9" t="n"/>
    </row>
    <row r="59">
      <c r="A59" s="9" t="n"/>
      <c r="B59" s="9" t="n"/>
      <c r="C59" s="9" t="n"/>
      <c r="D59" s="9" t="n"/>
      <c r="E59" s="8" t="n"/>
      <c r="F59" s="8" t="n"/>
      <c r="G59" s="9" t="n"/>
      <c r="H59" s="9" t="n"/>
      <c r="I59" s="9" t="n"/>
      <c r="J59" s="9" t="n"/>
    </row>
    <row r="60">
      <c r="A60" s="9" t="n"/>
      <c r="B60" s="9" t="n"/>
      <c r="C60" s="9" t="n"/>
      <c r="D60" s="9" t="n"/>
      <c r="E60" s="8" t="n"/>
      <c r="F60" s="8" t="n"/>
      <c r="G60" s="9" t="n"/>
      <c r="H60" s="9" t="n"/>
      <c r="I60" s="9" t="n"/>
      <c r="J60" s="9" t="n"/>
    </row>
    <row r="61">
      <c r="A61" s="9" t="n"/>
      <c r="B61" s="9" t="n"/>
      <c r="C61" s="9" t="n"/>
      <c r="D61" s="9" t="n"/>
      <c r="E61" s="8" t="n"/>
      <c r="F61" s="8" t="n"/>
      <c r="G61" s="9" t="n"/>
      <c r="H61" s="9" t="n"/>
      <c r="I61" s="9" t="n"/>
      <c r="J61" s="9" t="n"/>
    </row>
    <row r="62">
      <c r="A62" s="9" t="n"/>
      <c r="B62" s="9" t="n"/>
      <c r="C62" s="9" t="n"/>
      <c r="D62" s="9" t="n"/>
      <c r="E62" s="8" t="n"/>
      <c r="F62" s="8" t="n"/>
      <c r="G62" s="9" t="n"/>
      <c r="H62" s="9" t="n"/>
      <c r="I62" s="9" t="n"/>
      <c r="J62" s="9" t="n"/>
    </row>
    <row r="63">
      <c r="A63" s="9" t="n"/>
      <c r="B63" s="9" t="n"/>
      <c r="C63" s="9" t="n"/>
      <c r="D63" s="9" t="n"/>
      <c r="E63" s="8" t="n"/>
      <c r="F63" s="8" t="n"/>
      <c r="G63" s="9" t="n"/>
      <c r="H63" s="9" t="n"/>
      <c r="I63" s="9" t="n"/>
      <c r="J63" s="9" t="n"/>
    </row>
    <row r="64">
      <c r="A64" s="9" t="n"/>
      <c r="B64" s="9" t="n"/>
      <c r="C64" s="9" t="n"/>
      <c r="D64" s="9" t="n"/>
      <c r="E64" s="8" t="n"/>
      <c r="F64" s="8" t="n"/>
      <c r="G64" s="9" t="n"/>
      <c r="H64" s="9" t="n"/>
      <c r="I64" s="9" t="n"/>
      <c r="J64" s="9" t="n"/>
    </row>
    <row r="65">
      <c r="A65" s="9" t="n"/>
      <c r="B65" s="9" t="n"/>
      <c r="C65" s="9" t="n"/>
      <c r="D65" s="9" t="n"/>
      <c r="E65" s="8" t="n"/>
      <c r="F65" s="8" t="n"/>
      <c r="G65" s="9" t="n"/>
      <c r="H65" s="9" t="n"/>
      <c r="I65" s="9" t="n"/>
      <c r="J65" s="9" t="n"/>
    </row>
    <row r="66">
      <c r="A66" s="9" t="n"/>
      <c r="B66" s="9" t="n"/>
      <c r="C66" s="9" t="n"/>
      <c r="D66" s="9" t="n"/>
      <c r="E66" s="8" t="n"/>
      <c r="F66" s="8" t="n"/>
      <c r="G66" s="9" t="n"/>
      <c r="H66" s="9" t="n"/>
      <c r="I66" s="9" t="n"/>
      <c r="J66" s="9" t="n"/>
    </row>
    <row r="67">
      <c r="A67" s="9" t="n"/>
      <c r="B67" s="9" t="n"/>
      <c r="C67" s="9" t="n"/>
      <c r="D67" s="9" t="n"/>
      <c r="E67" s="8" t="n"/>
      <c r="F67" s="8" t="n"/>
      <c r="G67" s="9" t="n"/>
      <c r="H67" s="9" t="n"/>
      <c r="I67" s="9" t="n"/>
      <c r="J67" s="9" t="n"/>
    </row>
    <row r="68">
      <c r="A68" s="9" t="n"/>
      <c r="B68" s="9" t="n"/>
      <c r="C68" s="9" t="n"/>
      <c r="D68" s="9" t="n"/>
      <c r="E68" s="8" t="n"/>
      <c r="F68" s="8" t="n"/>
      <c r="G68" s="9" t="n"/>
      <c r="H68" s="9" t="n"/>
      <c r="I68" s="9" t="n"/>
      <c r="J68" s="9" t="n"/>
    </row>
    <row r="69">
      <c r="A69" s="9" t="n"/>
      <c r="B69" s="9" t="n"/>
      <c r="C69" s="9" t="n"/>
      <c r="D69" s="9" t="n"/>
      <c r="E69" s="8" t="n"/>
      <c r="F69" s="8" t="n"/>
      <c r="G69" s="9" t="n"/>
      <c r="H69" s="9" t="n"/>
      <c r="I69" s="9" t="n"/>
      <c r="J69" s="9" t="n"/>
    </row>
    <row r="70">
      <c r="A70" s="9" t="n"/>
      <c r="B70" s="9" t="n"/>
      <c r="C70" s="9" t="n"/>
      <c r="D70" s="9" t="n"/>
      <c r="E70" s="8" t="n"/>
      <c r="F70" s="8" t="n"/>
      <c r="G70" s="9" t="n"/>
      <c r="H70" s="9" t="n"/>
      <c r="I70" s="9" t="n"/>
      <c r="J70" s="9" t="n"/>
    </row>
    <row r="71">
      <c r="A71" s="9" t="n"/>
      <c r="B71" s="9" t="n"/>
      <c r="C71" s="9" t="n"/>
      <c r="D71" s="9" t="n"/>
      <c r="E71" s="8" t="n"/>
      <c r="F71" s="8" t="n"/>
      <c r="G71" s="9" t="n"/>
      <c r="H71" s="9" t="n"/>
      <c r="I71" s="9" t="n"/>
      <c r="J71" s="9" t="n"/>
    </row>
    <row r="72">
      <c r="A72" s="9" t="n"/>
      <c r="B72" s="9" t="n"/>
      <c r="C72" s="9" t="n"/>
      <c r="D72" s="9" t="n"/>
      <c r="E72" s="8" t="n"/>
      <c r="F72" s="8" t="n"/>
      <c r="G72" s="9" t="n"/>
      <c r="H72" s="9" t="n"/>
      <c r="I72" s="9" t="n"/>
      <c r="J72" s="9" t="n"/>
    </row>
    <row r="73">
      <c r="A73" s="9" t="n"/>
      <c r="B73" s="9" t="n"/>
      <c r="C73" s="9" t="n"/>
      <c r="D73" s="9" t="n"/>
      <c r="E73" s="8" t="n"/>
      <c r="F73" s="8" t="n"/>
      <c r="G73" s="9" t="n"/>
      <c r="H73" s="9" t="n"/>
      <c r="I73" s="9" t="n"/>
      <c r="J73" s="9" t="n"/>
    </row>
    <row r="74">
      <c r="A74" s="9" t="n"/>
      <c r="B74" s="9" t="n"/>
      <c r="C74" s="9" t="n"/>
      <c r="D74" s="9" t="n"/>
      <c r="E74" s="8" t="n"/>
      <c r="F74" s="8" t="n"/>
      <c r="G74" s="9" t="n"/>
      <c r="H74" s="9" t="n"/>
      <c r="I74" s="9" t="n"/>
      <c r="J74" s="9" t="n"/>
    </row>
    <row r="75">
      <c r="A75" s="9" t="n"/>
      <c r="B75" s="9" t="n"/>
      <c r="C75" s="9" t="n"/>
      <c r="D75" s="9" t="n"/>
      <c r="E75" s="8" t="n"/>
      <c r="F75" s="8" t="n"/>
      <c r="G75" s="9" t="n"/>
      <c r="H75" s="9" t="n"/>
      <c r="I75" s="9" t="n"/>
      <c r="J75" s="9" t="n"/>
    </row>
    <row r="76">
      <c r="A76" s="9" t="n"/>
      <c r="B76" s="9" t="n"/>
      <c r="C76" s="9" t="n"/>
      <c r="D76" s="9" t="n"/>
      <c r="E76" s="8" t="n"/>
      <c r="F76" s="8" t="n"/>
      <c r="G76" s="9" t="n"/>
      <c r="H76" s="9" t="n"/>
      <c r="I76" s="9" t="n"/>
      <c r="J76" s="9" t="n"/>
    </row>
    <row r="77">
      <c r="A77" s="9" t="n"/>
      <c r="B77" s="9" t="n"/>
      <c r="C77" s="9" t="n"/>
      <c r="D77" s="9" t="n"/>
      <c r="E77" s="8" t="n"/>
      <c r="F77" s="8" t="n"/>
      <c r="G77" s="9" t="n"/>
      <c r="H77" s="9" t="n"/>
      <c r="I77" s="9" t="n"/>
      <c r="J77" s="9" t="n"/>
    </row>
    <row r="78">
      <c r="A78" s="9" t="n"/>
      <c r="B78" s="9" t="n"/>
      <c r="C78" s="9" t="n"/>
      <c r="D78" s="9" t="n"/>
      <c r="E78" s="8" t="n"/>
      <c r="F78" s="8" t="n"/>
      <c r="G78" s="9" t="n"/>
      <c r="H78" s="9" t="n"/>
      <c r="I78" s="9" t="n"/>
      <c r="J78" s="9" t="n"/>
    </row>
    <row r="79">
      <c r="A79" s="9" t="n"/>
      <c r="B79" s="9" t="n"/>
      <c r="C79" s="9" t="n"/>
      <c r="D79" s="9" t="n"/>
      <c r="E79" s="8" t="n"/>
      <c r="F79" s="8" t="n"/>
      <c r="G79" s="9" t="n"/>
      <c r="H79" s="9" t="n"/>
      <c r="I79" s="9" t="n"/>
      <c r="J79" s="9" t="n"/>
    </row>
    <row r="80">
      <c r="A80" s="9" t="n"/>
      <c r="B80" s="9" t="n"/>
      <c r="C80" s="9" t="n"/>
      <c r="D80" s="9" t="n"/>
      <c r="E80" s="8" t="n"/>
      <c r="F80" s="8" t="n"/>
      <c r="G80" s="9" t="n"/>
      <c r="H80" s="9" t="n"/>
      <c r="I80" s="9" t="n"/>
      <c r="J80" s="9" t="n"/>
    </row>
    <row r="81">
      <c r="A81" s="9" t="n"/>
      <c r="B81" s="9" t="n"/>
      <c r="C81" s="9" t="n"/>
      <c r="D81" s="9" t="n"/>
      <c r="E81" s="8" t="n"/>
      <c r="F81" s="8" t="n"/>
      <c r="G81" s="9" t="n"/>
      <c r="H81" s="9" t="n"/>
      <c r="I81" s="9" t="n"/>
      <c r="J81" s="9" t="n"/>
    </row>
    <row r="82">
      <c r="A82" s="9" t="n"/>
      <c r="B82" s="9" t="n"/>
      <c r="C82" s="9" t="n"/>
      <c r="D82" s="9" t="n"/>
      <c r="E82" s="8" t="n"/>
      <c r="F82" s="8" t="n"/>
      <c r="G82" s="9" t="n"/>
      <c r="H82" s="9" t="n"/>
      <c r="I82" s="9" t="n"/>
      <c r="J82" s="9" t="n"/>
    </row>
    <row r="83">
      <c r="A83" s="9" t="n"/>
      <c r="B83" s="9" t="n"/>
      <c r="C83" s="9" t="n"/>
      <c r="D83" s="9" t="n"/>
      <c r="E83" s="8" t="n"/>
      <c r="F83" s="8" t="n"/>
      <c r="G83" s="9" t="n"/>
      <c r="H83" s="9" t="n"/>
      <c r="I83" s="9" t="n"/>
      <c r="J83" s="9" t="n"/>
    </row>
    <row r="84">
      <c r="A84" s="9" t="n"/>
      <c r="B84" s="9" t="n"/>
      <c r="C84" s="9" t="n"/>
      <c r="D84" s="9" t="n"/>
      <c r="E84" s="8" t="n"/>
      <c r="F84" s="8" t="n"/>
      <c r="G84" s="9" t="n"/>
      <c r="H84" s="9" t="n"/>
      <c r="I84" s="9" t="n"/>
      <c r="J84" s="9" t="n"/>
    </row>
    <row r="85">
      <c r="A85" s="9" t="n"/>
      <c r="B85" s="9" t="n"/>
      <c r="C85" s="9" t="n"/>
      <c r="D85" s="9" t="n"/>
      <c r="E85" s="8" t="n"/>
      <c r="F85" s="8" t="n"/>
      <c r="G85" s="9" t="n"/>
      <c r="H85" s="9" t="n"/>
      <c r="I85" s="9" t="n"/>
      <c r="J85" s="9" t="n"/>
    </row>
    <row r="86">
      <c r="A86" s="9" t="n"/>
      <c r="B86" s="9" t="n"/>
      <c r="C86" s="9" t="n"/>
      <c r="D86" s="9" t="n"/>
      <c r="E86" s="8" t="n"/>
      <c r="F86" s="8" t="n"/>
      <c r="G86" s="9" t="n"/>
      <c r="H86" s="9" t="n"/>
      <c r="I86" s="9" t="n"/>
      <c r="J86" s="9" t="n"/>
    </row>
    <row r="87">
      <c r="A87" s="9" t="n"/>
      <c r="B87" s="9" t="n"/>
      <c r="C87" s="9" t="n"/>
      <c r="D87" s="9" t="n"/>
      <c r="E87" s="8" t="n"/>
      <c r="F87" s="8" t="n"/>
      <c r="G87" s="9" t="n"/>
      <c r="H87" s="9" t="n"/>
      <c r="I87" s="9" t="n"/>
      <c r="J87" s="9" t="n"/>
    </row>
    <row r="88">
      <c r="A88" s="9" t="n"/>
      <c r="B88" s="9" t="n"/>
      <c r="C88" s="9" t="n"/>
      <c r="D88" s="9" t="n"/>
      <c r="E88" s="8" t="n"/>
      <c r="F88" s="8" t="n"/>
      <c r="G88" s="9" t="n"/>
      <c r="H88" s="9" t="n"/>
      <c r="I88" s="9" t="n"/>
      <c r="J88" s="9" t="n"/>
    </row>
    <row r="89">
      <c r="A89" s="9" t="n"/>
      <c r="B89" s="9" t="n"/>
      <c r="C89" s="9" t="n"/>
      <c r="D89" s="9" t="n"/>
      <c r="E89" s="8" t="n"/>
      <c r="F89" s="8" t="n"/>
      <c r="G89" s="9" t="n"/>
      <c r="H89" s="9" t="n"/>
      <c r="I89" s="9" t="n"/>
      <c r="J89" s="9" t="n"/>
    </row>
    <row r="90">
      <c r="A90" s="9" t="n"/>
      <c r="B90" s="9" t="n"/>
      <c r="C90" s="9" t="n"/>
      <c r="D90" s="9" t="n"/>
      <c r="E90" s="8" t="n"/>
      <c r="F90" s="8" t="n"/>
      <c r="G90" s="9" t="n"/>
      <c r="H90" s="9" t="n"/>
      <c r="I90" s="9" t="n"/>
      <c r="J90" s="9" t="n"/>
    </row>
    <row r="91">
      <c r="A91" s="9" t="n"/>
      <c r="B91" s="9" t="n"/>
      <c r="C91" s="9" t="n"/>
      <c r="D91" s="9" t="n"/>
      <c r="E91" s="8" t="n"/>
      <c r="F91" s="8" t="n"/>
      <c r="G91" s="9" t="n"/>
      <c r="H91" s="9" t="n"/>
      <c r="I91" s="9" t="n"/>
      <c r="J91" s="9" t="n"/>
    </row>
    <row r="92">
      <c r="A92" s="9" t="n"/>
      <c r="B92" s="9" t="n"/>
      <c r="C92" s="9" t="n"/>
      <c r="D92" s="9" t="n"/>
      <c r="E92" s="8" t="n"/>
      <c r="F92" s="8" t="n"/>
      <c r="G92" s="9" t="n"/>
      <c r="H92" s="9" t="n"/>
      <c r="I92" s="9" t="n"/>
      <c r="J92" s="9" t="n"/>
    </row>
    <row r="93">
      <c r="A93" s="9" t="n"/>
      <c r="B93" s="9" t="n"/>
      <c r="C93" s="9" t="n"/>
      <c r="D93" s="9" t="n"/>
      <c r="E93" s="8" t="n"/>
      <c r="F93" s="8" t="n"/>
      <c r="G93" s="9" t="n"/>
      <c r="H93" s="9" t="n"/>
      <c r="I93" s="9" t="n"/>
      <c r="J93" s="9" t="n"/>
    </row>
    <row r="94">
      <c r="A94" s="9" t="n"/>
      <c r="B94" s="9" t="n"/>
      <c r="C94" s="9" t="n"/>
      <c r="D94" s="9" t="n"/>
      <c r="E94" s="8" t="n"/>
      <c r="F94" s="8" t="n"/>
      <c r="G94" s="9" t="n"/>
      <c r="H94" s="9" t="n"/>
      <c r="I94" s="9" t="n"/>
      <c r="J94" s="9" t="n"/>
    </row>
    <row r="95">
      <c r="A95" s="9" t="n"/>
      <c r="B95" s="9" t="n"/>
      <c r="C95" s="9" t="n"/>
      <c r="D95" s="9" t="n"/>
      <c r="E95" s="8" t="n"/>
      <c r="F95" s="8" t="n"/>
      <c r="G95" s="9" t="n"/>
      <c r="H95" s="9" t="n"/>
      <c r="I95" s="9" t="n"/>
      <c r="J95" s="9" t="n"/>
    </row>
    <row r="96">
      <c r="A96" s="9" t="n"/>
      <c r="B96" s="9" t="n"/>
      <c r="C96" s="9" t="n"/>
      <c r="D96" s="9" t="n"/>
      <c r="E96" s="8" t="n"/>
      <c r="F96" s="8" t="n"/>
      <c r="G96" s="9" t="n"/>
      <c r="H96" s="9" t="n"/>
      <c r="I96" s="9" t="n"/>
      <c r="J96" s="9" t="n"/>
    </row>
    <row r="97">
      <c r="A97" s="9" t="n"/>
      <c r="B97" s="9" t="n"/>
      <c r="C97" s="9" t="n"/>
      <c r="D97" s="9" t="n"/>
      <c r="E97" s="8" t="n"/>
      <c r="F97" s="8" t="n"/>
      <c r="G97" s="9" t="n"/>
      <c r="H97" s="9" t="n"/>
      <c r="I97" s="9" t="n"/>
      <c r="J97" s="9" t="n"/>
    </row>
    <row r="98">
      <c r="A98" s="9" t="n"/>
      <c r="B98" s="9" t="n"/>
      <c r="C98" s="9" t="n"/>
      <c r="D98" s="9" t="n"/>
      <c r="E98" s="8" t="n"/>
      <c r="F98" s="8" t="n"/>
      <c r="G98" s="9" t="n"/>
      <c r="H98" s="9" t="n"/>
      <c r="I98" s="9" t="n"/>
      <c r="J98" s="9" t="n"/>
    </row>
    <row r="99">
      <c r="A99" s="9" t="n"/>
      <c r="B99" s="9" t="n"/>
      <c r="C99" s="9" t="n"/>
      <c r="D99" s="9" t="n"/>
      <c r="E99" s="8" t="n"/>
      <c r="F99" s="8" t="n"/>
      <c r="G99" s="9" t="n"/>
      <c r="H99" s="9" t="n"/>
      <c r="I99" s="9" t="n"/>
      <c r="J99" s="9" t="n"/>
    </row>
    <row r="100">
      <c r="A100" s="9" t="n"/>
      <c r="B100" s="9" t="n"/>
      <c r="C100" s="9" t="n"/>
      <c r="D100" s="9" t="n"/>
      <c r="E100" s="8" t="n"/>
      <c r="F100" s="8" t="n"/>
      <c r="G100" s="9" t="n"/>
      <c r="H100" s="9" t="n"/>
      <c r="I100" s="9" t="n"/>
      <c r="J100" s="9" t="n"/>
    </row>
    <row r="101">
      <c r="A101" s="9" t="n"/>
      <c r="B101" s="9" t="n"/>
      <c r="C101" s="9" t="n"/>
      <c r="D101" s="9" t="n"/>
      <c r="E101" s="8" t="n"/>
      <c r="F101" s="8" t="n"/>
      <c r="G101" s="9" t="n"/>
      <c r="H101" s="9" t="n"/>
      <c r="I101" s="9" t="n"/>
      <c r="J101" s="9" t="n"/>
    </row>
    <row r="102">
      <c r="A102" s="9" t="n"/>
      <c r="B102" s="9" t="n"/>
      <c r="C102" s="9" t="n"/>
      <c r="D102" s="9" t="n"/>
      <c r="E102" s="8" t="n"/>
      <c r="F102" s="8" t="n"/>
      <c r="G102" s="9" t="n"/>
      <c r="H102" s="9" t="n"/>
      <c r="I102" s="9" t="n"/>
      <c r="J102" s="9" t="n"/>
    </row>
    <row r="103">
      <c r="A103" s="9" t="n"/>
      <c r="B103" s="9" t="n"/>
      <c r="C103" s="9" t="n"/>
      <c r="D103" s="9" t="n"/>
      <c r="E103" s="8" t="n"/>
      <c r="F103" s="8" t="n"/>
      <c r="G103" s="9" t="n"/>
      <c r="H103" s="9" t="n"/>
      <c r="I103" s="9" t="n"/>
      <c r="J103" s="9" t="n"/>
    </row>
    <row r="104">
      <c r="A104" s="9" t="n"/>
      <c r="B104" s="9" t="n"/>
      <c r="C104" s="9" t="n"/>
      <c r="D104" s="9" t="n"/>
      <c r="E104" s="8" t="n"/>
      <c r="F104" s="8" t="n"/>
      <c r="G104" s="9" t="n"/>
      <c r="H104" s="9" t="n"/>
      <c r="I104" s="9" t="n"/>
      <c r="J104" s="9" t="n"/>
    </row>
    <row r="105">
      <c r="A105" s="9" t="n"/>
      <c r="B105" s="9" t="n"/>
      <c r="C105" s="9" t="n"/>
      <c r="D105" s="9" t="n"/>
      <c r="E105" s="8" t="n"/>
      <c r="F105" s="8" t="n"/>
      <c r="G105" s="9" t="n"/>
      <c r="H105" s="9" t="n"/>
      <c r="I105" s="9" t="n"/>
      <c r="J105" s="9" t="n"/>
    </row>
    <row r="106">
      <c r="A106" s="9" t="n"/>
      <c r="B106" s="9" t="n"/>
      <c r="C106" s="9" t="n"/>
      <c r="D106" s="9" t="n"/>
      <c r="E106" s="8" t="n"/>
      <c r="F106" s="8" t="n"/>
      <c r="G106" s="9" t="n"/>
      <c r="H106" s="9" t="n"/>
      <c r="I106" s="9" t="n"/>
      <c r="J106" s="9" t="n"/>
    </row>
    <row r="107">
      <c r="A107" s="9" t="n"/>
      <c r="B107" s="9" t="n"/>
      <c r="C107" s="9" t="n"/>
      <c r="D107" s="9" t="n"/>
      <c r="E107" s="8" t="n"/>
      <c r="F107" s="8" t="n"/>
      <c r="G107" s="9" t="n"/>
      <c r="H107" s="9" t="n"/>
      <c r="I107" s="9" t="n"/>
      <c r="J107" s="9" t="n"/>
    </row>
    <row r="108">
      <c r="A108" s="9" t="n"/>
      <c r="B108" s="9" t="n"/>
      <c r="C108" s="9" t="n"/>
      <c r="D108" s="9" t="n"/>
      <c r="E108" s="8" t="n"/>
      <c r="F108" s="8" t="n"/>
      <c r="G108" s="9" t="n"/>
      <c r="H108" s="9" t="n"/>
      <c r="I108" s="9" t="n"/>
      <c r="J108" s="9" t="n"/>
    </row>
    <row r="109">
      <c r="A109" s="9" t="n"/>
      <c r="B109" s="9" t="n"/>
      <c r="C109" s="9" t="n"/>
      <c r="D109" s="9" t="n"/>
      <c r="E109" s="8" t="n"/>
      <c r="F109" s="8" t="n"/>
      <c r="G109" s="9" t="n"/>
      <c r="H109" s="9" t="n"/>
      <c r="I109" s="9" t="n"/>
      <c r="J109" s="9" t="n"/>
    </row>
    <row r="110">
      <c r="A110" s="9" t="n"/>
      <c r="B110" s="9" t="n"/>
      <c r="C110" s="9" t="n"/>
      <c r="D110" s="9" t="n"/>
      <c r="E110" s="8" t="n"/>
      <c r="F110" s="8" t="n"/>
      <c r="G110" s="9" t="n"/>
      <c r="H110" s="9" t="n"/>
      <c r="I110" s="9" t="n"/>
      <c r="J110" s="9" t="n"/>
    </row>
    <row r="111">
      <c r="A111" s="9" t="n"/>
      <c r="B111" s="9" t="n"/>
      <c r="C111" s="9" t="n"/>
      <c r="D111" s="9" t="n"/>
      <c r="E111" s="8" t="n"/>
      <c r="F111" s="8" t="n"/>
      <c r="G111" s="9" t="n"/>
      <c r="H111" s="9" t="n"/>
      <c r="I111" s="9" t="n"/>
      <c r="J111" s="9" t="n"/>
    </row>
    <row r="112">
      <c r="A112" s="9" t="n"/>
      <c r="B112" s="9" t="n"/>
      <c r="C112" s="9" t="n"/>
      <c r="D112" s="9" t="n"/>
      <c r="E112" s="8" t="n"/>
      <c r="F112" s="8" t="n"/>
      <c r="G112" s="9" t="n"/>
      <c r="H112" s="9" t="n"/>
      <c r="I112" s="9" t="n"/>
      <c r="J112" s="9" t="n"/>
    </row>
    <row r="113">
      <c r="A113" s="9" t="n"/>
      <c r="B113" s="9" t="n"/>
      <c r="C113" s="9" t="n"/>
      <c r="D113" s="9" t="n"/>
      <c r="E113" s="8" t="n"/>
      <c r="F113" s="8" t="n"/>
      <c r="G113" s="9" t="n"/>
      <c r="H113" s="9" t="n"/>
      <c r="I113" s="9" t="n"/>
      <c r="J113" s="9" t="n"/>
    </row>
    <row r="114">
      <c r="A114" s="9" t="n"/>
      <c r="B114" s="9" t="n"/>
      <c r="C114" s="9" t="n"/>
      <c r="D114" s="9" t="n"/>
      <c r="E114" s="8" t="n"/>
      <c r="F114" s="8" t="n"/>
      <c r="G114" s="9" t="n"/>
      <c r="H114" s="9" t="n"/>
      <c r="I114" s="9" t="n"/>
      <c r="J114" s="9" t="n"/>
    </row>
    <row r="115">
      <c r="A115" s="9" t="n"/>
      <c r="B115" s="9" t="n"/>
      <c r="C115" s="9" t="n"/>
      <c r="D115" s="9" t="n"/>
      <c r="E115" s="8" t="n"/>
      <c r="F115" s="8" t="n"/>
      <c r="G115" s="9" t="n"/>
      <c r="H115" s="9" t="n"/>
      <c r="I115" s="9" t="n"/>
      <c r="J115" s="9" t="n"/>
    </row>
    <row r="116">
      <c r="A116" s="9" t="n"/>
      <c r="B116" s="9" t="n"/>
      <c r="C116" s="9" t="n"/>
      <c r="D116" s="9" t="n"/>
      <c r="E116" s="8" t="n"/>
      <c r="F116" s="8" t="n"/>
      <c r="G116" s="9" t="n"/>
      <c r="H116" s="9" t="n"/>
      <c r="I116" s="9" t="n"/>
      <c r="J116" s="9" t="n"/>
    </row>
    <row r="117">
      <c r="A117" s="9" t="n"/>
      <c r="B117" s="9" t="n"/>
      <c r="C117" s="9" t="n"/>
      <c r="D117" s="9" t="n"/>
      <c r="E117" s="8" t="n"/>
      <c r="F117" s="8" t="n"/>
      <c r="G117" s="9" t="n"/>
      <c r="H117" s="9" t="n"/>
      <c r="I117" s="9" t="n"/>
      <c r="J117" s="9" t="n"/>
    </row>
    <row r="118">
      <c r="A118" s="9" t="n"/>
      <c r="B118" s="9" t="n"/>
      <c r="C118" s="9" t="n"/>
      <c r="D118" s="9" t="n"/>
      <c r="E118" s="8" t="n"/>
      <c r="F118" s="8" t="n"/>
      <c r="G118" s="9" t="n"/>
      <c r="H118" s="9" t="n"/>
      <c r="I118" s="9" t="n"/>
      <c r="J118" s="9" t="n"/>
    </row>
    <row r="119">
      <c r="A119" s="9" t="n"/>
      <c r="B119" s="9" t="n"/>
      <c r="C119" s="9" t="n"/>
      <c r="D119" s="9" t="n"/>
      <c r="E119" s="8" t="n"/>
      <c r="F119" s="8" t="n"/>
      <c r="G119" s="9" t="n"/>
      <c r="H119" s="9" t="n"/>
      <c r="I119" s="9" t="n"/>
      <c r="J119" s="9" t="n"/>
    </row>
    <row r="120">
      <c r="A120" s="9" t="n"/>
      <c r="B120" s="9" t="n"/>
      <c r="C120" s="9" t="n"/>
      <c r="D120" s="9" t="n"/>
      <c r="E120" s="8" t="n"/>
      <c r="F120" s="8" t="n"/>
      <c r="G120" s="9" t="n"/>
      <c r="H120" s="9" t="n"/>
      <c r="I120" s="9" t="n"/>
      <c r="J120" s="9" t="n"/>
    </row>
    <row r="121">
      <c r="A121" s="9" t="n"/>
      <c r="B121" s="9" t="n"/>
      <c r="C121" s="9" t="n"/>
      <c r="D121" s="9" t="n"/>
      <c r="E121" s="8" t="n"/>
      <c r="F121" s="8" t="n"/>
      <c r="G121" s="9" t="n"/>
      <c r="H121" s="9" t="n"/>
      <c r="I121" s="9" t="n"/>
      <c r="J121" s="9" t="n"/>
    </row>
    <row r="122">
      <c r="A122" s="9" t="n"/>
      <c r="B122" s="9" t="n"/>
      <c r="C122" s="9" t="n"/>
      <c r="D122" s="9" t="n"/>
      <c r="E122" s="8" t="n"/>
      <c r="F122" s="8" t="n"/>
      <c r="G122" s="9" t="n"/>
      <c r="H122" s="9" t="n"/>
      <c r="I122" s="9" t="n"/>
      <c r="J122" s="9" t="n"/>
    </row>
    <row r="123">
      <c r="A123" s="9" t="n"/>
      <c r="B123" s="9" t="n"/>
      <c r="C123" s="9" t="n"/>
      <c r="D123" s="9" t="n"/>
      <c r="E123" s="8" t="n"/>
      <c r="F123" s="8" t="n"/>
      <c r="G123" s="9" t="n"/>
      <c r="H123" s="9" t="n"/>
      <c r="I123" s="9" t="n"/>
      <c r="J123" s="9" t="n"/>
    </row>
    <row r="124">
      <c r="A124" s="9" t="n"/>
      <c r="B124" s="9" t="n"/>
      <c r="C124" s="9" t="n"/>
      <c r="D124" s="9" t="n"/>
      <c r="E124" s="8" t="n"/>
      <c r="F124" s="8" t="n"/>
      <c r="G124" s="9" t="n"/>
      <c r="H124" s="9" t="n"/>
      <c r="I124" s="9" t="n"/>
      <c r="J124" s="9" t="n"/>
    </row>
    <row r="125">
      <c r="A125" s="9" t="n"/>
      <c r="B125" s="9" t="n"/>
      <c r="C125" s="9" t="n"/>
      <c r="D125" s="9" t="n"/>
      <c r="E125" s="8" t="n"/>
      <c r="F125" s="8" t="n"/>
      <c r="G125" s="9" t="n"/>
      <c r="H125" s="9" t="n"/>
      <c r="I125" s="9" t="n"/>
      <c r="J125" s="9" t="n"/>
    </row>
    <row r="126">
      <c r="A126" s="9" t="n"/>
      <c r="B126" s="9" t="n"/>
      <c r="C126" s="9" t="n"/>
      <c r="D126" s="9" t="n"/>
      <c r="E126" s="8" t="n"/>
      <c r="F126" s="8" t="n"/>
      <c r="G126" s="9" t="n"/>
      <c r="H126" s="9" t="n"/>
      <c r="I126" s="9" t="n"/>
      <c r="J126" s="9" t="n"/>
    </row>
    <row r="127">
      <c r="A127" s="9" t="n"/>
      <c r="B127" s="9" t="n"/>
      <c r="C127" s="9" t="n"/>
      <c r="D127" s="9" t="n"/>
      <c r="E127" s="8" t="n"/>
      <c r="F127" s="8" t="n"/>
      <c r="G127" s="9" t="n"/>
      <c r="H127" s="9" t="n"/>
      <c r="I127" s="9" t="n"/>
      <c r="J127" s="9" t="n"/>
    </row>
    <row r="128">
      <c r="A128" s="9" t="n"/>
      <c r="B128" s="9" t="n"/>
      <c r="C128" s="9" t="n"/>
      <c r="D128" s="9" t="n"/>
      <c r="E128" s="8" t="n"/>
      <c r="F128" s="8" t="n"/>
      <c r="G128" s="9" t="n"/>
      <c r="H128" s="9" t="n"/>
      <c r="I128" s="9" t="n"/>
      <c r="J128" s="9" t="n"/>
    </row>
    <row r="129">
      <c r="A129" s="9" t="n"/>
      <c r="B129" s="9" t="n"/>
      <c r="C129" s="9" t="n"/>
      <c r="D129" s="9" t="n"/>
      <c r="E129" s="8" t="n"/>
      <c r="F129" s="8" t="n"/>
      <c r="G129" s="9" t="n"/>
      <c r="H129" s="9" t="n"/>
      <c r="I129" s="9" t="n"/>
      <c r="J129" s="9" t="n"/>
    </row>
    <row r="130">
      <c r="A130" s="9" t="n"/>
      <c r="B130" s="9" t="n"/>
      <c r="C130" s="9" t="n"/>
      <c r="D130" s="9" t="n"/>
      <c r="E130" s="8" t="n"/>
      <c r="F130" s="8" t="n"/>
      <c r="G130" s="9" t="n"/>
      <c r="H130" s="9" t="n"/>
      <c r="I130" s="9" t="n"/>
      <c r="J130" s="9" t="n"/>
    </row>
    <row r="131">
      <c r="A131" s="9" t="n"/>
      <c r="B131" s="9" t="n"/>
      <c r="C131" s="9" t="n"/>
      <c r="D131" s="9" t="n"/>
      <c r="E131" s="8" t="n"/>
      <c r="F131" s="8" t="n"/>
      <c r="G131" s="9" t="n"/>
      <c r="H131" s="9" t="n"/>
      <c r="I131" s="9" t="n"/>
      <c r="J131" s="9" t="n"/>
    </row>
    <row r="132">
      <c r="A132" s="9" t="n"/>
      <c r="B132" s="9" t="n"/>
      <c r="C132" s="9" t="n"/>
      <c r="D132" s="9" t="n"/>
      <c r="E132" s="8" t="n"/>
      <c r="F132" s="8" t="n"/>
      <c r="G132" s="9" t="n"/>
      <c r="H132" s="9" t="n"/>
      <c r="I132" s="9" t="n"/>
      <c r="J132" s="9" t="n"/>
    </row>
    <row r="133">
      <c r="A133" s="9" t="n"/>
      <c r="B133" s="9" t="n"/>
      <c r="C133" s="9" t="n"/>
      <c r="D133" s="9" t="n"/>
      <c r="E133" s="8" t="n"/>
      <c r="F133" s="8" t="n"/>
      <c r="G133" s="9" t="n"/>
      <c r="H133" s="9" t="n"/>
      <c r="I133" s="9" t="n"/>
      <c r="J133" s="9" t="n"/>
    </row>
    <row r="134">
      <c r="A134" s="9" t="n"/>
      <c r="B134" s="9" t="n"/>
      <c r="C134" s="9" t="n"/>
      <c r="D134" s="9" t="n"/>
      <c r="E134" s="8" t="n"/>
      <c r="F134" s="8" t="n"/>
      <c r="G134" s="9" t="n"/>
      <c r="H134" s="9" t="n"/>
      <c r="I134" s="9" t="n"/>
      <c r="J134" s="9" t="n"/>
    </row>
    <row r="135">
      <c r="A135" s="9" t="n"/>
      <c r="B135" s="9" t="n"/>
      <c r="C135" s="9" t="n"/>
      <c r="D135" s="9" t="n"/>
      <c r="E135" s="8" t="n"/>
      <c r="F135" s="8" t="n"/>
      <c r="G135" s="9" t="n"/>
      <c r="H135" s="9" t="n"/>
      <c r="I135" s="9" t="n"/>
      <c r="J135" s="9" t="n"/>
    </row>
    <row r="136">
      <c r="A136" s="9" t="n"/>
      <c r="B136" s="9" t="n"/>
      <c r="C136" s="9" t="n"/>
      <c r="D136" s="9" t="n"/>
      <c r="E136" s="8" t="n"/>
      <c r="F136" s="8" t="n"/>
      <c r="G136" s="9" t="n"/>
      <c r="H136" s="9" t="n"/>
      <c r="I136" s="9" t="n"/>
      <c r="J136" s="9" t="n"/>
    </row>
    <row r="137">
      <c r="A137" s="9" t="n"/>
      <c r="B137" s="9" t="n"/>
      <c r="C137" s="9" t="n"/>
      <c r="D137" s="9" t="n"/>
      <c r="E137" s="8" t="n"/>
      <c r="F137" s="8" t="n"/>
      <c r="G137" s="9" t="n"/>
      <c r="H137" s="9" t="n"/>
      <c r="I137" s="9" t="n"/>
      <c r="J137" s="9" t="n"/>
    </row>
    <row r="138">
      <c r="A138" s="9" t="n"/>
      <c r="B138" s="9" t="n"/>
      <c r="C138" s="9" t="n"/>
      <c r="D138" s="9" t="n"/>
      <c r="E138" s="8" t="n"/>
      <c r="F138" s="8" t="n"/>
      <c r="G138" s="9" t="n"/>
      <c r="H138" s="9" t="n"/>
      <c r="I138" s="9" t="n"/>
      <c r="J138" s="9" t="n"/>
    </row>
    <row r="139">
      <c r="A139" s="9" t="n"/>
      <c r="B139" s="9" t="n"/>
      <c r="C139" s="9" t="n"/>
      <c r="D139" s="9" t="n"/>
      <c r="E139" s="8" t="n"/>
      <c r="F139" s="8" t="n"/>
      <c r="G139" s="9" t="n"/>
      <c r="H139" s="9" t="n"/>
      <c r="I139" s="9" t="n"/>
      <c r="J139" s="9" t="n"/>
    </row>
    <row r="140">
      <c r="A140" s="9" t="n"/>
      <c r="B140" s="9" t="n"/>
      <c r="C140" s="9" t="n"/>
      <c r="D140" s="9" t="n"/>
      <c r="E140" s="8" t="n"/>
      <c r="F140" s="8" t="n"/>
      <c r="G140" s="9" t="n"/>
      <c r="H140" s="9" t="n"/>
      <c r="I140" s="9" t="n"/>
      <c r="J140" s="9" t="n"/>
    </row>
    <row r="141">
      <c r="A141" s="9" t="n"/>
      <c r="B141" s="9" t="n"/>
      <c r="C141" s="9" t="n"/>
      <c r="D141" s="9" t="n"/>
      <c r="E141" s="8" t="n"/>
      <c r="F141" s="8" t="n"/>
      <c r="G141" s="9" t="n"/>
      <c r="H141" s="9" t="n"/>
      <c r="I141" s="9" t="n"/>
      <c r="J141" s="9" t="n"/>
    </row>
    <row r="142">
      <c r="A142" s="9" t="n"/>
      <c r="B142" s="9" t="n"/>
      <c r="C142" s="9" t="n"/>
      <c r="D142" s="9" t="n"/>
      <c r="E142" s="8" t="n"/>
      <c r="F142" s="8" t="n"/>
      <c r="G142" s="9" t="n"/>
      <c r="H142" s="9" t="n"/>
      <c r="I142" s="9" t="n"/>
      <c r="J142" s="9" t="n"/>
    </row>
    <row r="143">
      <c r="A143" s="9" t="n"/>
      <c r="B143" s="9" t="n"/>
      <c r="C143" s="9" t="n"/>
      <c r="D143" s="9" t="n"/>
      <c r="E143" s="8" t="n"/>
      <c r="F143" s="8" t="n"/>
      <c r="G143" s="9" t="n"/>
      <c r="H143" s="9" t="n"/>
      <c r="I143" s="9" t="n"/>
      <c r="J143" s="9" t="n"/>
    </row>
    <row r="144">
      <c r="A144" s="9" t="n"/>
      <c r="B144" s="9" t="n"/>
      <c r="C144" s="9" t="n"/>
      <c r="D144" s="9" t="n"/>
      <c r="E144" s="8" t="n"/>
      <c r="F144" s="8" t="n"/>
      <c r="G144" s="9" t="n"/>
      <c r="H144" s="9" t="n"/>
      <c r="I144" s="9" t="n"/>
      <c r="J144" s="9" t="n"/>
    </row>
    <row r="145">
      <c r="A145" s="9" t="n"/>
      <c r="B145" s="9" t="n"/>
      <c r="C145" s="9" t="n"/>
      <c r="D145" s="9" t="n"/>
      <c r="E145" s="8" t="n"/>
      <c r="F145" s="8" t="n"/>
      <c r="G145" s="9" t="n"/>
      <c r="H145" s="9" t="n"/>
      <c r="I145" s="9" t="n"/>
      <c r="J145" s="9" t="n"/>
    </row>
    <row r="146">
      <c r="A146" s="9" t="n"/>
      <c r="B146" s="9" t="n"/>
      <c r="C146" s="9" t="n"/>
      <c r="D146" s="9" t="n"/>
      <c r="E146" s="8" t="n"/>
      <c r="F146" s="8" t="n"/>
      <c r="G146" s="9" t="n"/>
      <c r="H146" s="9" t="n"/>
      <c r="I146" s="9" t="n"/>
      <c r="J146" s="9" t="n"/>
    </row>
    <row r="147">
      <c r="A147" s="9" t="n"/>
      <c r="B147" s="9" t="n"/>
      <c r="C147" s="9" t="n"/>
      <c r="D147" s="9" t="n"/>
      <c r="E147" s="8" t="n"/>
      <c r="F147" s="8" t="n"/>
      <c r="G147" s="9" t="n"/>
      <c r="H147" s="9" t="n"/>
      <c r="I147" s="9" t="n"/>
      <c r="J147" s="9" t="n"/>
    </row>
    <row r="148">
      <c r="A148" s="9" t="n"/>
      <c r="B148" s="9" t="n"/>
      <c r="C148" s="9" t="n"/>
      <c r="D148" s="9" t="n"/>
      <c r="E148" s="8" t="n"/>
      <c r="F148" s="8" t="n"/>
      <c r="G148" s="9" t="n"/>
      <c r="H148" s="9" t="n"/>
      <c r="I148" s="9" t="n"/>
      <c r="J148" s="9" t="n"/>
    </row>
    <row r="149">
      <c r="A149" s="9" t="n"/>
      <c r="B149" s="9" t="n"/>
      <c r="C149" s="9" t="n"/>
      <c r="D149" s="9" t="n"/>
      <c r="E149" s="8" t="n"/>
      <c r="F149" s="8" t="n"/>
      <c r="G149" s="9" t="n"/>
      <c r="H149" s="9" t="n"/>
      <c r="I149" s="9" t="n"/>
      <c r="J149" s="9" t="n"/>
    </row>
    <row r="150">
      <c r="A150" s="9" t="n"/>
      <c r="B150" s="9" t="n"/>
      <c r="C150" s="9" t="n"/>
      <c r="D150" s="9" t="n"/>
      <c r="E150" s="8" t="n"/>
      <c r="F150" s="8" t="n"/>
      <c r="G150" s="9" t="n"/>
      <c r="H150" s="9" t="n"/>
      <c r="I150" s="9" t="n"/>
      <c r="J150" s="9" t="n"/>
    </row>
    <row r="151">
      <c r="A151" s="9" t="n"/>
      <c r="B151" s="9" t="n"/>
      <c r="C151" s="9" t="n"/>
      <c r="D151" s="9" t="n"/>
      <c r="E151" s="8" t="n"/>
      <c r="F151" s="8" t="n"/>
      <c r="G151" s="9" t="n"/>
      <c r="H151" s="9" t="n"/>
      <c r="I151" s="9" t="n"/>
      <c r="J151" s="9" t="n"/>
    </row>
    <row r="152">
      <c r="A152" s="9" t="n"/>
      <c r="B152" s="9" t="n"/>
      <c r="C152" s="9" t="n"/>
      <c r="D152" s="9" t="n"/>
      <c r="E152" s="8" t="n"/>
      <c r="F152" s="8" t="n"/>
      <c r="G152" s="9" t="n"/>
      <c r="H152" s="9" t="n"/>
      <c r="I152" s="9" t="n"/>
      <c r="J152" s="9" t="n"/>
    </row>
    <row r="153">
      <c r="A153" s="9" t="n"/>
      <c r="B153" s="9" t="n"/>
      <c r="C153" s="9" t="n"/>
      <c r="D153" s="9" t="n"/>
      <c r="E153" s="8" t="n"/>
      <c r="F153" s="8" t="n"/>
      <c r="G153" s="9" t="n"/>
      <c r="H153" s="9" t="n"/>
      <c r="I153" s="9" t="n"/>
      <c r="J153" s="9" t="n"/>
    </row>
    <row r="154">
      <c r="A154" s="9" t="n"/>
      <c r="B154" s="9" t="n"/>
      <c r="C154" s="9" t="n"/>
      <c r="D154" s="9" t="n"/>
      <c r="E154" s="8" t="n"/>
      <c r="F154" s="8" t="n"/>
      <c r="G154" s="9" t="n"/>
      <c r="H154" s="9" t="n"/>
      <c r="I154" s="9" t="n"/>
      <c r="J154" s="9" t="n"/>
    </row>
    <row r="155">
      <c r="A155" s="9" t="n"/>
      <c r="B155" s="9" t="n"/>
      <c r="C155" s="9" t="n"/>
      <c r="D155" s="9" t="n"/>
      <c r="E155" s="8" t="n"/>
      <c r="F155" s="8" t="n"/>
      <c r="G155" s="9" t="n"/>
      <c r="H155" s="9" t="n"/>
      <c r="I155" s="9" t="n"/>
      <c r="J155" s="9" t="n"/>
    </row>
    <row r="156">
      <c r="A156" s="9" t="n"/>
      <c r="B156" s="9" t="n"/>
      <c r="C156" s="9" t="n"/>
      <c r="D156" s="9" t="n"/>
      <c r="E156" s="8" t="n"/>
      <c r="F156" s="8" t="n"/>
      <c r="G156" s="9" t="n"/>
      <c r="H156" s="9" t="n"/>
      <c r="I156" s="9" t="n"/>
      <c r="J156" s="9" t="n"/>
    </row>
    <row r="157">
      <c r="A157" s="9" t="n"/>
      <c r="B157" s="9" t="n"/>
      <c r="C157" s="9" t="n"/>
      <c r="D157" s="9" t="n"/>
      <c r="E157" s="8" t="n"/>
      <c r="F157" s="8" t="n"/>
      <c r="G157" s="9" t="n"/>
      <c r="H157" s="9" t="n"/>
      <c r="I157" s="9" t="n"/>
      <c r="J157" s="9" t="n"/>
    </row>
    <row r="158">
      <c r="A158" s="9" t="n"/>
      <c r="B158" s="9" t="n"/>
      <c r="C158" s="9" t="n"/>
      <c r="D158" s="9" t="n"/>
      <c r="E158" s="8" t="n"/>
      <c r="F158" s="8" t="n"/>
      <c r="G158" s="9" t="n"/>
      <c r="H158" s="9" t="n"/>
      <c r="I158" s="9" t="n"/>
      <c r="J158" s="9" t="n"/>
    </row>
    <row r="159">
      <c r="A159" s="9" t="n"/>
      <c r="B159" s="9" t="n"/>
      <c r="C159" s="9" t="n"/>
      <c r="D159" s="9" t="n"/>
      <c r="E159" s="8" t="n"/>
      <c r="F159" s="8" t="n"/>
      <c r="G159" s="9" t="n"/>
      <c r="H159" s="9" t="n"/>
      <c r="I159" s="9" t="n"/>
      <c r="J159" s="9" t="n"/>
    </row>
    <row r="160">
      <c r="A160" s="9" t="n"/>
      <c r="B160" s="9" t="n"/>
      <c r="C160" s="9" t="n"/>
      <c r="D160" s="9" t="n"/>
      <c r="E160" s="8" t="n"/>
      <c r="F160" s="8" t="n"/>
      <c r="G160" s="9" t="n"/>
      <c r="H160" s="9" t="n"/>
      <c r="I160" s="9" t="n"/>
      <c r="J160" s="9" t="n"/>
    </row>
    <row r="161">
      <c r="A161" s="9" t="n"/>
      <c r="B161" s="9" t="n"/>
      <c r="C161" s="9" t="n"/>
      <c r="D161" s="9" t="n"/>
      <c r="E161" s="8" t="n"/>
      <c r="F161" s="8" t="n"/>
      <c r="G161" s="9" t="n"/>
      <c r="H161" s="9" t="n"/>
      <c r="I161" s="9" t="n"/>
      <c r="J161" s="9" t="n"/>
    </row>
    <row r="162">
      <c r="A162" s="9" t="n"/>
      <c r="B162" s="9" t="n"/>
      <c r="C162" s="9" t="n"/>
      <c r="D162" s="9" t="n"/>
      <c r="E162" s="8" t="n"/>
      <c r="F162" s="8" t="n"/>
      <c r="G162" s="9" t="n"/>
      <c r="H162" s="9" t="n"/>
      <c r="I162" s="9" t="n"/>
      <c r="J162" s="9" t="n"/>
    </row>
    <row r="163">
      <c r="A163" s="9" t="n"/>
      <c r="B163" s="9" t="n"/>
      <c r="C163" s="9" t="n"/>
      <c r="D163" s="9" t="n"/>
      <c r="E163" s="8" t="n"/>
      <c r="F163" s="8" t="n"/>
      <c r="G163" s="9" t="n"/>
      <c r="H163" s="9" t="n"/>
      <c r="I163" s="9" t="n"/>
      <c r="J163" s="9" t="n"/>
    </row>
    <row r="164">
      <c r="A164" s="9" t="n"/>
      <c r="B164" s="9" t="n"/>
      <c r="C164" s="9" t="n"/>
      <c r="D164" s="9" t="n"/>
      <c r="E164" s="8" t="n"/>
      <c r="F164" s="8" t="n"/>
      <c r="G164" s="9" t="n"/>
      <c r="H164" s="9" t="n"/>
      <c r="I164" s="9" t="n"/>
      <c r="J164" s="9" t="n"/>
    </row>
    <row r="165">
      <c r="A165" s="9" t="n"/>
      <c r="B165" s="9" t="n"/>
      <c r="C165" s="9" t="n"/>
      <c r="D165" s="9" t="n"/>
      <c r="E165" s="8" t="n"/>
      <c r="F165" s="8" t="n"/>
      <c r="G165" s="9" t="n"/>
      <c r="H165" s="9" t="n"/>
      <c r="I165" s="9" t="n"/>
      <c r="J165" s="9" t="n"/>
    </row>
    <row r="166">
      <c r="A166" s="9" t="n"/>
      <c r="B166" s="9" t="n"/>
      <c r="C166" s="9" t="n"/>
      <c r="D166" s="9" t="n"/>
      <c r="E166" s="8" t="n"/>
      <c r="F166" s="8" t="n"/>
      <c r="G166" s="9" t="n"/>
      <c r="H166" s="9" t="n"/>
      <c r="I166" s="9" t="n"/>
      <c r="J166" s="9" t="n"/>
    </row>
    <row r="167">
      <c r="A167" s="9" t="n"/>
      <c r="B167" s="9" t="n"/>
      <c r="C167" s="9" t="n"/>
      <c r="D167" s="9" t="n"/>
      <c r="E167" s="8" t="n"/>
      <c r="F167" s="8" t="n"/>
      <c r="G167" s="9" t="n"/>
      <c r="H167" s="9" t="n"/>
      <c r="I167" s="9" t="n"/>
      <c r="J167" s="9" t="n"/>
    </row>
    <row r="168">
      <c r="A168" s="9" t="n"/>
      <c r="B168" s="9" t="n"/>
      <c r="C168" s="9" t="n"/>
      <c r="D168" s="9" t="n"/>
      <c r="E168" s="8" t="n"/>
      <c r="F168" s="8" t="n"/>
      <c r="G168" s="9" t="n"/>
      <c r="H168" s="9" t="n"/>
      <c r="I168" s="9" t="n"/>
      <c r="J168" s="9" t="n"/>
    </row>
    <row r="169">
      <c r="A169" s="9" t="n"/>
      <c r="B169" s="9" t="n"/>
      <c r="C169" s="9" t="n"/>
      <c r="D169" s="9" t="n"/>
      <c r="E169" s="8" t="n"/>
      <c r="F169" s="8" t="n"/>
      <c r="G169" s="9" t="n"/>
      <c r="H169" s="9" t="n"/>
      <c r="I169" s="9" t="n"/>
      <c r="J169" s="9" t="n"/>
    </row>
    <row r="170">
      <c r="A170" s="9" t="n"/>
      <c r="B170" s="9" t="n"/>
      <c r="C170" s="9" t="n"/>
      <c r="D170" s="9" t="n"/>
      <c r="E170" s="8" t="n"/>
      <c r="F170" s="8" t="n"/>
      <c r="G170" s="9" t="n"/>
      <c r="H170" s="9" t="n"/>
      <c r="I170" s="9" t="n"/>
      <c r="J170" s="9" t="n"/>
    </row>
    <row r="171">
      <c r="A171" s="9" t="n"/>
      <c r="B171" s="9" t="n"/>
      <c r="C171" s="9" t="n"/>
      <c r="D171" s="9" t="n"/>
      <c r="E171" s="8" t="n"/>
      <c r="F171" s="8" t="n"/>
      <c r="G171" s="9" t="n"/>
      <c r="H171" s="9" t="n"/>
      <c r="I171" s="9" t="n"/>
      <c r="J171" s="9" t="n"/>
    </row>
    <row r="172">
      <c r="A172" s="9" t="n"/>
      <c r="B172" s="9" t="n"/>
      <c r="C172" s="9" t="n"/>
      <c r="D172" s="9" t="n"/>
      <c r="E172" s="8" t="n"/>
      <c r="F172" s="8" t="n"/>
      <c r="G172" s="9" t="n"/>
      <c r="H172" s="9" t="n"/>
      <c r="I172" s="9" t="n"/>
      <c r="J172" s="9" t="n"/>
    </row>
    <row r="173">
      <c r="A173" s="9" t="n"/>
      <c r="B173" s="9" t="n"/>
      <c r="C173" s="9" t="n"/>
      <c r="D173" s="9" t="n"/>
      <c r="E173" s="8" t="n"/>
      <c r="F173" s="8" t="n"/>
      <c r="G173" s="9" t="n"/>
      <c r="H173" s="9" t="n"/>
      <c r="I173" s="9" t="n"/>
      <c r="J173" s="9" t="n"/>
    </row>
    <row r="174">
      <c r="A174" s="9" t="n"/>
      <c r="B174" s="9" t="n"/>
      <c r="C174" s="9" t="n"/>
      <c r="D174" s="9" t="n"/>
      <c r="E174" s="8" t="n"/>
      <c r="F174" s="8" t="n"/>
      <c r="G174" s="9" t="n"/>
      <c r="H174" s="9" t="n"/>
      <c r="I174" s="9" t="n"/>
      <c r="J174" s="9" t="n"/>
    </row>
    <row r="175">
      <c r="A175" s="9" t="n"/>
      <c r="B175" s="9" t="n"/>
      <c r="C175" s="9" t="n"/>
      <c r="D175" s="9" t="n"/>
      <c r="E175" s="8" t="n"/>
      <c r="F175" s="8" t="n"/>
      <c r="G175" s="9" t="n"/>
      <c r="H175" s="9" t="n"/>
      <c r="I175" s="9" t="n"/>
      <c r="J175" s="9" t="n"/>
    </row>
    <row r="176">
      <c r="A176" s="9" t="n"/>
      <c r="B176" s="9" t="n"/>
      <c r="C176" s="9" t="n"/>
      <c r="D176" s="9" t="n"/>
      <c r="E176" s="8" t="n"/>
      <c r="F176" s="8" t="n"/>
      <c r="G176" s="9" t="n"/>
      <c r="H176" s="9" t="n"/>
      <c r="I176" s="9" t="n"/>
      <c r="J176" s="9" t="n"/>
    </row>
    <row r="177">
      <c r="A177" s="9" t="n"/>
      <c r="B177" s="9" t="n"/>
      <c r="C177" s="9" t="n"/>
      <c r="D177" s="9" t="n"/>
      <c r="E177" s="8" t="n"/>
      <c r="F177" s="8" t="n"/>
      <c r="G177" s="9" t="n"/>
      <c r="H177" s="9" t="n"/>
      <c r="I177" s="9" t="n"/>
      <c r="J177" s="9" t="n"/>
    </row>
    <row r="178">
      <c r="A178" s="9" t="n"/>
      <c r="B178" s="9" t="n"/>
      <c r="C178" s="9" t="n"/>
      <c r="D178" s="9" t="n"/>
      <c r="E178" s="8" t="n"/>
      <c r="F178" s="8" t="n"/>
      <c r="G178" s="9" t="n"/>
      <c r="H178" s="9" t="n"/>
      <c r="I178" s="9" t="n"/>
      <c r="J178" s="9" t="n"/>
    </row>
    <row r="179">
      <c r="A179" s="9" t="n"/>
      <c r="B179" s="9" t="n"/>
      <c r="C179" s="9" t="n"/>
      <c r="D179" s="9" t="n"/>
      <c r="E179" s="8" t="n"/>
      <c r="F179" s="8" t="n"/>
      <c r="G179" s="9" t="n"/>
      <c r="H179" s="9" t="n"/>
      <c r="I179" s="9" t="n"/>
      <c r="J179" s="9" t="n"/>
    </row>
    <row r="180">
      <c r="A180" s="9" t="n"/>
      <c r="B180" s="9" t="n"/>
      <c r="C180" s="9" t="n"/>
      <c r="D180" s="9" t="n"/>
      <c r="E180" s="8" t="n"/>
      <c r="F180" s="8" t="n"/>
      <c r="G180" s="9" t="n"/>
      <c r="H180" s="9" t="n"/>
      <c r="I180" s="9" t="n"/>
      <c r="J180" s="9" t="n"/>
    </row>
    <row r="181">
      <c r="A181" s="9" t="n"/>
      <c r="B181" s="9" t="n"/>
      <c r="C181" s="9" t="n"/>
      <c r="D181" s="9" t="n"/>
      <c r="E181" s="8" t="n"/>
      <c r="F181" s="8" t="n"/>
      <c r="G181" s="9" t="n"/>
      <c r="H181" s="9" t="n"/>
      <c r="I181" s="9" t="n"/>
      <c r="J181" s="9" t="n"/>
    </row>
    <row r="182">
      <c r="A182" s="9" t="n"/>
      <c r="B182" s="9" t="n"/>
      <c r="C182" s="9" t="n"/>
      <c r="D182" s="9" t="n"/>
      <c r="E182" s="8" t="n"/>
      <c r="F182" s="8" t="n"/>
      <c r="G182" s="9" t="n"/>
      <c r="H182" s="9" t="n"/>
      <c r="I182" s="9" t="n"/>
      <c r="J182" s="9" t="n"/>
    </row>
    <row r="183">
      <c r="A183" s="9" t="n"/>
      <c r="B183" s="9" t="n"/>
      <c r="C183" s="9" t="n"/>
      <c r="D183" s="9" t="n"/>
      <c r="E183" s="8" t="n"/>
      <c r="F183" s="8" t="n"/>
      <c r="G183" s="9" t="n"/>
      <c r="H183" s="9" t="n"/>
      <c r="I183" s="9" t="n"/>
      <c r="J183" s="9" t="n"/>
    </row>
    <row r="184">
      <c r="A184" s="9" t="n"/>
      <c r="B184" s="9" t="n"/>
      <c r="C184" s="9" t="n"/>
      <c r="D184" s="9" t="n"/>
      <c r="E184" s="8" t="n"/>
      <c r="F184" s="8" t="n"/>
      <c r="G184" s="9" t="n"/>
      <c r="H184" s="9" t="n"/>
      <c r="I184" s="9" t="n"/>
      <c r="J184" s="9" t="n"/>
    </row>
    <row r="185">
      <c r="A185" s="9" t="n"/>
      <c r="B185" s="9" t="n"/>
      <c r="C185" s="9" t="n"/>
      <c r="D185" s="9" t="n"/>
      <c r="E185" s="8" t="n"/>
      <c r="F185" s="8" t="n"/>
      <c r="G185" s="9" t="n"/>
      <c r="H185" s="9" t="n"/>
      <c r="I185" s="9" t="n"/>
      <c r="J185" s="9" t="n"/>
    </row>
    <row r="186">
      <c r="A186" s="9" t="n"/>
      <c r="B186" s="9" t="n"/>
      <c r="C186" s="9" t="n"/>
      <c r="D186" s="9" t="n"/>
      <c r="E186" s="8" t="n"/>
      <c r="F186" s="8" t="n"/>
      <c r="G186" s="9" t="n"/>
      <c r="H186" s="9" t="n"/>
      <c r="I186" s="9" t="n"/>
      <c r="J186" s="9" t="n"/>
    </row>
    <row r="187">
      <c r="A187" s="9" t="n"/>
      <c r="B187" s="9" t="n"/>
      <c r="C187" s="9" t="n"/>
      <c r="D187" s="9" t="n"/>
      <c r="E187" s="8" t="n"/>
      <c r="F187" s="8" t="n"/>
      <c r="G187" s="9" t="n"/>
      <c r="H187" s="9" t="n"/>
      <c r="I187" s="9" t="n"/>
      <c r="J187" s="9" t="n"/>
    </row>
    <row r="188">
      <c r="A188" s="9" t="n"/>
      <c r="B188" s="9" t="n"/>
      <c r="C188" s="9" t="n"/>
      <c r="D188" s="9" t="n"/>
      <c r="E188" s="8" t="n"/>
      <c r="F188" s="8" t="n"/>
      <c r="G188" s="9" t="n"/>
      <c r="H188" s="9" t="n"/>
      <c r="I188" s="9" t="n"/>
      <c r="J188" s="9" t="n"/>
    </row>
    <row r="189">
      <c r="A189" s="9" t="n"/>
      <c r="B189" s="9" t="n"/>
      <c r="C189" s="9" t="n"/>
      <c r="D189" s="9" t="n"/>
      <c r="E189" s="8" t="n"/>
      <c r="F189" s="8" t="n"/>
      <c r="G189" s="9" t="n"/>
      <c r="H189" s="9" t="n"/>
      <c r="I189" s="9" t="n"/>
      <c r="J189" s="9" t="n"/>
    </row>
    <row r="190">
      <c r="A190" s="9" t="n"/>
      <c r="B190" s="9" t="n"/>
      <c r="C190" s="9" t="n"/>
      <c r="D190" s="9" t="n"/>
      <c r="E190" s="8" t="n"/>
      <c r="F190" s="8" t="n"/>
      <c r="G190" s="9" t="n"/>
      <c r="H190" s="9" t="n"/>
      <c r="I190" s="9" t="n"/>
      <c r="J190" s="9" t="n"/>
    </row>
    <row r="191">
      <c r="A191" s="9" t="n"/>
      <c r="B191" s="9" t="n"/>
      <c r="C191" s="9" t="n"/>
      <c r="D191" s="9" t="n"/>
      <c r="E191" s="8" t="n"/>
      <c r="F191" s="8" t="n"/>
      <c r="G191" s="9" t="n"/>
      <c r="H191" s="9" t="n"/>
      <c r="I191" s="9" t="n"/>
      <c r="J191" s="9" t="n"/>
    </row>
    <row r="192">
      <c r="A192" s="9" t="n"/>
      <c r="B192" s="9" t="n"/>
      <c r="C192" s="9" t="n"/>
      <c r="D192" s="9" t="n"/>
      <c r="E192" s="8" t="n"/>
      <c r="F192" s="8" t="n"/>
      <c r="G192" s="9" t="n"/>
      <c r="H192" s="9" t="n"/>
      <c r="I192" s="9" t="n"/>
      <c r="J192" s="9" t="n"/>
    </row>
    <row r="193">
      <c r="A193" s="9" t="n"/>
      <c r="B193" s="9" t="n"/>
      <c r="C193" s="9" t="n"/>
      <c r="D193" s="9" t="n"/>
      <c r="E193" s="8" t="n"/>
      <c r="F193" s="8" t="n"/>
      <c r="G193" s="9" t="n"/>
      <c r="H193" s="9" t="n"/>
      <c r="I193" s="9" t="n"/>
      <c r="J193" s="9" t="n"/>
    </row>
    <row r="194">
      <c r="A194" s="9" t="n"/>
      <c r="B194" s="9" t="n"/>
      <c r="C194" s="9" t="n"/>
      <c r="D194" s="9" t="n"/>
      <c r="E194" s="8" t="n"/>
      <c r="F194" s="8" t="n"/>
      <c r="G194" s="9" t="n"/>
      <c r="H194" s="9" t="n"/>
      <c r="I194" s="9" t="n"/>
      <c r="J194" s="9" t="n"/>
    </row>
    <row r="195">
      <c r="A195" s="9" t="n"/>
      <c r="B195" s="9" t="n"/>
      <c r="C195" s="9" t="n"/>
      <c r="D195" s="9" t="n"/>
      <c r="E195" s="8" t="n"/>
      <c r="F195" s="8" t="n"/>
      <c r="G195" s="9" t="n"/>
      <c r="H195" s="9" t="n"/>
      <c r="I195" s="9" t="n"/>
      <c r="J195" s="9" t="n"/>
    </row>
    <row r="196">
      <c r="A196" s="9" t="n"/>
      <c r="B196" s="9" t="n"/>
      <c r="C196" s="9" t="n"/>
      <c r="D196" s="9" t="n"/>
      <c r="E196" s="8" t="n"/>
      <c r="F196" s="8" t="n"/>
      <c r="G196" s="9" t="n"/>
      <c r="H196" s="9" t="n"/>
      <c r="I196" s="9" t="n"/>
      <c r="J196" s="9" t="n"/>
    </row>
    <row r="197">
      <c r="A197" s="9" t="n"/>
      <c r="B197" s="9" t="n"/>
      <c r="C197" s="9" t="n"/>
      <c r="D197" s="9" t="n"/>
      <c r="E197" s="8" t="n"/>
      <c r="F197" s="8" t="n"/>
      <c r="G197" s="9" t="n"/>
      <c r="H197" s="9" t="n"/>
      <c r="I197" s="9" t="n"/>
      <c r="J197" s="9" t="n"/>
    </row>
    <row r="198">
      <c r="A198" s="9" t="n"/>
      <c r="B198" s="9" t="n"/>
      <c r="C198" s="9" t="n"/>
      <c r="D198" s="9" t="n"/>
      <c r="E198" s="8" t="n"/>
      <c r="F198" s="8" t="n"/>
      <c r="G198" s="9" t="n"/>
      <c r="H198" s="9" t="n"/>
      <c r="I198" s="9" t="n"/>
      <c r="J198" s="9" t="n"/>
    </row>
    <row r="199">
      <c r="A199" s="9" t="n"/>
      <c r="B199" s="9" t="n"/>
      <c r="C199" s="9" t="n"/>
      <c r="D199" s="9" t="n"/>
      <c r="E199" s="8" t="n"/>
      <c r="F199" s="8" t="n"/>
      <c r="G199" s="9" t="n"/>
      <c r="H199" s="9" t="n"/>
      <c r="I199" s="9" t="n"/>
      <c r="J199" s="9" t="n"/>
    </row>
    <row r="200">
      <c r="A200" s="9" t="n"/>
      <c r="B200" s="9" t="n"/>
      <c r="C200" s="9" t="n"/>
      <c r="D200" s="9" t="n"/>
      <c r="E200" s="8" t="n"/>
      <c r="F200" s="8" t="n"/>
      <c r="G200" s="9" t="n"/>
      <c r="H200" s="9" t="n"/>
      <c r="I200" s="9" t="n"/>
      <c r="J200" s="9" t="n"/>
    </row>
  </sheetData>
  <mergeCells count="2">
    <mergeCell ref="A1:J1"/>
    <mergeCell ref="A2:J2"/>
  </mergeCells>
  <dataValidations count="2">
    <dataValidation sqref="E5:E200" showDropDown="0" showInputMessage="0" showErrorMessage="0" allowBlank="1" type="list">
      <formula1>"Diagnosis specificity,MEAT documentation,HCC recapture,CPT II reporting,Unsupported diagnoses,Problem list accuracy,Medication reconciliation,Multiple areas"</formula1>
    </dataValidation>
    <dataValidation sqref="J5:J200" showDropDown="0" showInputMessage="0" showErrorMessage="0" allowBlank="1" type="list">
      <formula1>"Open,Education Delivered,Re-Audit Pending,Re-Audit Complete — Passed,Re-Audit Complete — Failed,Escalated"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34155"/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30" customWidth="1" min="4" max="4"/>
  </cols>
  <sheetData>
    <row r="1" ht="30" customHeight="1">
      <c r="A1" s="1" t="inlineStr">
        <is>
          <t>Reference — MEAT · High-Risk Dx · CPT II · Performance Bands</t>
        </is>
      </c>
    </row>
    <row r="2" ht="20" customHeight="1">
      <c r="A2" s="2" t="inlineStr">
        <is>
          <t>Coding &amp; audit reference used across the workbook.</t>
        </is>
      </c>
    </row>
    <row r="4" ht="22" customHeight="1">
      <c r="A4" s="15" t="inlineStr">
        <is>
          <t>MEAT Criteria</t>
        </is>
      </c>
    </row>
    <row r="5">
      <c r="A5" s="16" t="inlineStr">
        <is>
          <t>Element</t>
        </is>
      </c>
      <c r="B5" s="16" t="inlineStr">
        <is>
          <t>Meaning</t>
        </is>
      </c>
      <c r="C5" s="16" t="inlineStr">
        <is>
          <t>Documentation Example</t>
        </is>
      </c>
      <c r="D5" s="16" t="inlineStr"/>
    </row>
    <row r="6">
      <c r="A6" s="9" t="inlineStr">
        <is>
          <t>Monitor</t>
        </is>
      </c>
      <c r="B6" s="9" t="inlineStr">
        <is>
          <t>Signs / symptoms / labs monitored</t>
        </is>
      </c>
      <c r="C6" s="8" t="inlineStr">
        <is>
          <t>HbA1c 7.8 stable, weight trending down</t>
        </is>
      </c>
      <c r="D6" s="9" t="inlineStr"/>
    </row>
    <row r="7">
      <c r="A7" s="9" t="inlineStr">
        <is>
          <t>Evaluate</t>
        </is>
      </c>
      <c r="B7" s="9" t="inlineStr">
        <is>
          <t>Response to treatment evaluated</t>
        </is>
      </c>
      <c r="C7" s="8" t="inlineStr">
        <is>
          <t>Reviewed BP log — controlled on lisinopril</t>
        </is>
      </c>
      <c r="D7" s="9" t="inlineStr"/>
    </row>
    <row r="8">
      <c r="A8" s="9" t="inlineStr">
        <is>
          <t>Assess / Address</t>
        </is>
      </c>
      <c r="B8" s="9" t="inlineStr">
        <is>
          <t>Diagnosis reviewed and addressed</t>
        </is>
      </c>
      <c r="C8" s="8" t="inlineStr">
        <is>
          <t>DM Type 2 with neuropathy — continues to be a problem</t>
        </is>
      </c>
      <c r="D8" s="9" t="inlineStr"/>
    </row>
    <row r="9">
      <c r="A9" s="9" t="inlineStr">
        <is>
          <t>Treat</t>
        </is>
      </c>
      <c r="B9" s="9" t="inlineStr">
        <is>
          <t>Treatment plan documented</t>
        </is>
      </c>
      <c r="C9" s="8" t="inlineStr">
        <is>
          <t>Continue metformin 1000 mg BID; recheck A1c in 3 mo</t>
        </is>
      </c>
      <c r="D9" s="9" t="inlineStr"/>
    </row>
    <row r="11" ht="22" customHeight="1">
      <c r="A11" s="15" t="inlineStr">
        <is>
          <t>High-Risk / High-Impact Diagnoses (audit priority)</t>
        </is>
      </c>
    </row>
    <row r="12">
      <c r="A12" s="16" t="inlineStr">
        <is>
          <t>ICD-10</t>
        </is>
      </c>
      <c r="B12" s="16" t="inlineStr">
        <is>
          <t>Category</t>
        </is>
      </c>
      <c r="C12" s="16" t="inlineStr">
        <is>
          <t>Description</t>
        </is>
      </c>
      <c r="D12" s="16" t="inlineStr">
        <is>
          <t>Notes</t>
        </is>
      </c>
    </row>
    <row r="13">
      <c r="A13" s="9" t="inlineStr">
        <is>
          <t>E11.9</t>
        </is>
      </c>
      <c r="B13" s="9" t="inlineStr">
        <is>
          <t>Diabetes</t>
        </is>
      </c>
      <c r="C13" s="8" t="inlineStr">
        <is>
          <t>Type 2 DM without complications</t>
        </is>
      </c>
      <c r="D13" s="8" t="inlineStr">
        <is>
          <t>Unspecified — push toward specificity</t>
        </is>
      </c>
    </row>
    <row r="14">
      <c r="A14" s="9" t="inlineStr">
        <is>
          <t>E11.22</t>
        </is>
      </c>
      <c r="B14" s="9" t="inlineStr">
        <is>
          <t>Diabetes</t>
        </is>
      </c>
      <c r="C14" s="8" t="inlineStr">
        <is>
          <t>Type 2 DM with diabetic CKD</t>
        </is>
      </c>
      <c r="D14" s="8" t="inlineStr">
        <is>
          <t>HCC combination code</t>
        </is>
      </c>
    </row>
    <row r="15">
      <c r="A15" s="9" t="inlineStr">
        <is>
          <t>E11.42</t>
        </is>
      </c>
      <c r="B15" s="9" t="inlineStr">
        <is>
          <t>Diabetes</t>
        </is>
      </c>
      <c r="C15" s="8" t="inlineStr">
        <is>
          <t>Type 2 DM with polyneuropathy</t>
        </is>
      </c>
      <c r="D15" s="8" t="inlineStr">
        <is>
          <t>Common under-reported combo</t>
        </is>
      </c>
    </row>
    <row r="16">
      <c r="A16" s="9" t="inlineStr">
        <is>
          <t>N18.3</t>
        </is>
      </c>
      <c r="B16" s="9" t="inlineStr">
        <is>
          <t>CKD</t>
        </is>
      </c>
      <c r="C16" s="8" t="inlineStr">
        <is>
          <t>Chronic kidney disease, stage 3 (unspecified)</t>
        </is>
      </c>
      <c r="D16" s="8" t="inlineStr">
        <is>
          <t>Prefer N18.30 / N18.31 / N18.32</t>
        </is>
      </c>
    </row>
    <row r="17">
      <c r="A17" s="9" t="inlineStr">
        <is>
          <t>N18.4</t>
        </is>
      </c>
      <c r="B17" s="9" t="inlineStr">
        <is>
          <t>CKD</t>
        </is>
      </c>
      <c r="C17" s="8" t="inlineStr">
        <is>
          <t>Chronic kidney disease, stage 4</t>
        </is>
      </c>
      <c r="D17" s="8" t="inlineStr">
        <is>
          <t>HCC</t>
        </is>
      </c>
    </row>
    <row r="18">
      <c r="A18" s="9" t="inlineStr">
        <is>
          <t>I50.9</t>
        </is>
      </c>
      <c r="B18" s="9" t="inlineStr">
        <is>
          <t>Heart failure</t>
        </is>
      </c>
      <c r="C18" s="8" t="inlineStr">
        <is>
          <t>Heart failure, unspecified</t>
        </is>
      </c>
      <c r="D18" s="8" t="inlineStr">
        <is>
          <t>Prefer systolic / diastolic + acuity</t>
        </is>
      </c>
    </row>
    <row r="19">
      <c r="A19" s="9" t="inlineStr">
        <is>
          <t>J44.9</t>
        </is>
      </c>
      <c r="B19" s="9" t="inlineStr">
        <is>
          <t>COPD</t>
        </is>
      </c>
      <c r="C19" s="8" t="inlineStr">
        <is>
          <t>COPD, unspecified</t>
        </is>
      </c>
      <c r="D19" s="8" t="inlineStr">
        <is>
          <t>Consider J44.1 acute exacerbation</t>
        </is>
      </c>
    </row>
    <row r="20">
      <c r="A20" s="9" t="inlineStr">
        <is>
          <t>F32.9</t>
        </is>
      </c>
      <c r="B20" s="9" t="inlineStr">
        <is>
          <t>Depression</t>
        </is>
      </c>
      <c r="C20" s="8" t="inlineStr">
        <is>
          <t>MDD, single episode, unspecified</t>
        </is>
      </c>
      <c r="D20" s="8" t="inlineStr">
        <is>
          <t>Prefer specificity (F32.0–F32.3)</t>
        </is>
      </c>
    </row>
    <row r="21">
      <c r="A21" s="9" t="inlineStr">
        <is>
          <t>F41.9</t>
        </is>
      </c>
      <c r="B21" s="9" t="inlineStr">
        <is>
          <t>Anxiety</t>
        </is>
      </c>
      <c r="C21" s="8" t="inlineStr">
        <is>
          <t>Anxiety disorder, unspecified</t>
        </is>
      </c>
      <c r="D21" s="8" t="inlineStr">
        <is>
          <t>Prefer F41.1 GAD when documented</t>
        </is>
      </c>
    </row>
    <row r="22">
      <c r="A22" s="9" t="inlineStr">
        <is>
          <t>R73.09</t>
        </is>
      </c>
      <c r="B22" s="9" t="inlineStr">
        <is>
          <t>Prediabetes</t>
        </is>
      </c>
      <c r="C22" s="8" t="inlineStr">
        <is>
          <t>Abnormal glucose</t>
        </is>
      </c>
      <c r="D22" s="8" t="inlineStr">
        <is>
          <t>Missed HCC path — consider E11 criteria</t>
        </is>
      </c>
    </row>
    <row r="23">
      <c r="A23" s="9" t="inlineStr">
        <is>
          <t>I10</t>
        </is>
      </c>
      <c r="B23" s="9" t="inlineStr">
        <is>
          <t>Hypertension</t>
        </is>
      </c>
      <c r="C23" s="8" t="inlineStr">
        <is>
          <t>Essential hypertension</t>
        </is>
      </c>
      <c r="D23" s="8" t="inlineStr">
        <is>
          <t>Check for hypertensive HD/CKD combos</t>
        </is>
      </c>
    </row>
    <row r="24">
      <c r="A24" s="9" t="inlineStr">
        <is>
          <t>Z79.4</t>
        </is>
      </c>
      <c r="B24" s="9" t="inlineStr">
        <is>
          <t>Long-term meds</t>
        </is>
      </c>
      <c r="C24" s="8" t="inlineStr">
        <is>
          <t>Long-term insulin use</t>
        </is>
      </c>
      <c r="D24" s="8" t="inlineStr">
        <is>
          <t>Required with insulin-dependent DM</t>
        </is>
      </c>
    </row>
    <row r="26" ht="22" customHeight="1">
      <c r="A26" s="15" t="inlineStr">
        <is>
          <t>CPT II Reporting Priorities</t>
        </is>
      </c>
    </row>
    <row r="27">
      <c r="A27" s="16" t="inlineStr">
        <is>
          <t>Measure</t>
        </is>
      </c>
      <c r="B27" s="16" t="inlineStr">
        <is>
          <t>CPT II Code(s)</t>
        </is>
      </c>
      <c r="C27" s="16" t="inlineStr">
        <is>
          <t>Denominator Trigger</t>
        </is>
      </c>
      <c r="D27" s="16" t="inlineStr">
        <is>
          <t>Notes</t>
        </is>
      </c>
    </row>
    <row r="28">
      <c r="A28" s="9" t="inlineStr">
        <is>
          <t>HbA1c &lt;8%</t>
        </is>
      </c>
      <c r="B28" s="9" t="inlineStr">
        <is>
          <t>3044F / 3046F / 3051F / 3052F</t>
        </is>
      </c>
      <c r="C28" s="8" t="inlineStr">
        <is>
          <t>Diabetes patients</t>
        </is>
      </c>
      <c r="D28" s="8" t="inlineStr">
        <is>
          <t>Report per most recent A1c</t>
        </is>
      </c>
    </row>
    <row r="29">
      <c r="A29" s="9" t="inlineStr">
        <is>
          <t>BP control &lt;140/90</t>
        </is>
      </c>
      <c r="B29" s="9" t="inlineStr">
        <is>
          <t>3074F / 3075F / 3077F / 3078F</t>
        </is>
      </c>
      <c r="C29" s="8" t="inlineStr">
        <is>
          <t>Hypertension patients</t>
        </is>
      </c>
      <c r="D29" s="8" t="inlineStr">
        <is>
          <t>Document both systolic &amp; diastolic</t>
        </is>
      </c>
    </row>
    <row r="30">
      <c r="A30" s="9" t="inlineStr">
        <is>
          <t>BMI screening &amp; follow-up</t>
        </is>
      </c>
      <c r="B30" s="9" t="inlineStr">
        <is>
          <t>G8417 / G8418 / G8420</t>
        </is>
      </c>
      <c r="C30" s="8" t="inlineStr">
        <is>
          <t>All adult visits</t>
        </is>
      </c>
      <c r="D30" s="8" t="inlineStr">
        <is>
          <t>Include intervention when abnormal</t>
        </is>
      </c>
    </row>
    <row r="31">
      <c r="A31" s="9" t="inlineStr">
        <is>
          <t>Tobacco use &amp; cessation</t>
        </is>
      </c>
      <c r="B31" s="9" t="inlineStr">
        <is>
          <t>1036F / 4004F</t>
        </is>
      </c>
      <c r="C31" s="8" t="inlineStr">
        <is>
          <t>All adult visits</t>
        </is>
      </c>
      <c r="D31" s="8" t="inlineStr">
        <is>
          <t>Screening + counseling combo</t>
        </is>
      </c>
    </row>
    <row r="32">
      <c r="A32" s="9" t="inlineStr">
        <is>
          <t>Depression screening + plan</t>
        </is>
      </c>
      <c r="B32" s="9" t="inlineStr">
        <is>
          <t>G8431 / G8510</t>
        </is>
      </c>
      <c r="C32" s="8" t="inlineStr">
        <is>
          <t>All adult visits</t>
        </is>
      </c>
      <c r="D32" s="8" t="inlineStr">
        <is>
          <t>PHQ-2 / PHQ-9 documented</t>
        </is>
      </c>
    </row>
    <row r="33">
      <c r="A33" s="9" t="inlineStr">
        <is>
          <t>Statin therapy for CVD</t>
        </is>
      </c>
      <c r="B33" s="9" t="inlineStr">
        <is>
          <t>0521F / 4013F</t>
        </is>
      </c>
      <c r="C33" s="8" t="inlineStr">
        <is>
          <t>ASCVD / DM / LDL &gt;=190</t>
        </is>
      </c>
      <c r="D33" s="8" t="inlineStr">
        <is>
          <t>On statin, refused, or contraindicated</t>
        </is>
      </c>
    </row>
    <row r="34">
      <c r="A34" s="9" t="inlineStr">
        <is>
          <t>Diabetic eye exam</t>
        </is>
      </c>
      <c r="B34" s="9" t="inlineStr">
        <is>
          <t>2022F / 2024F / 2026F</t>
        </is>
      </c>
      <c r="C34" s="8" t="inlineStr">
        <is>
          <t>Diabetes patients</t>
        </is>
      </c>
      <c r="D34" s="8" t="inlineStr">
        <is>
          <t>Negative or positive result</t>
        </is>
      </c>
    </row>
    <row r="35">
      <c r="A35" s="9" t="inlineStr">
        <is>
          <t>Nephropathy screening</t>
        </is>
      </c>
      <c r="B35" s="9" t="inlineStr">
        <is>
          <t>3060F / 3061F / 3062F</t>
        </is>
      </c>
      <c r="C35" s="8" t="inlineStr">
        <is>
          <t>Diabetes patients</t>
        </is>
      </c>
      <c r="D35" s="8" t="inlineStr">
        <is>
          <t>Urine albumin / on ACE/ARB</t>
        </is>
      </c>
    </row>
    <row r="36">
      <c r="A36" s="9" t="inlineStr">
        <is>
          <t>Med rec post-discharge</t>
        </is>
      </c>
      <c r="B36" s="9" t="inlineStr">
        <is>
          <t>1111F</t>
        </is>
      </c>
      <c r="C36" s="8" t="inlineStr">
        <is>
          <t>Discharged in last 30 days</t>
        </is>
      </c>
      <c r="D36" s="8" t="inlineStr">
        <is>
          <t>Reconciliation documented</t>
        </is>
      </c>
    </row>
    <row r="37">
      <c r="A37" s="9" t="inlineStr">
        <is>
          <t>Fall risk assessment</t>
        </is>
      </c>
      <c r="B37" s="9" t="inlineStr">
        <is>
          <t>1101F</t>
        </is>
      </c>
      <c r="C37" s="8" t="inlineStr">
        <is>
          <t>Age 65+</t>
        </is>
      </c>
      <c r="D37" s="8" t="inlineStr">
        <is>
          <t>Yearly for MA populations</t>
        </is>
      </c>
    </row>
    <row r="39" ht="22" customHeight="1">
      <c r="A39" s="15" t="inlineStr">
        <is>
          <t>Performance Bands</t>
        </is>
      </c>
    </row>
    <row r="40">
      <c r="A40" s="16" t="inlineStr">
        <is>
          <t>Score Range</t>
        </is>
      </c>
      <c r="B40" s="16" t="inlineStr">
        <is>
          <t>Band</t>
        </is>
      </c>
      <c r="C40" s="16" t="inlineStr">
        <is>
          <t>Action</t>
        </is>
      </c>
      <c r="D40" s="16" t="inlineStr"/>
    </row>
    <row r="41">
      <c r="A41" s="9" t="inlineStr">
        <is>
          <t>95 – 100</t>
        </is>
      </c>
      <c r="B41" s="9" t="inlineStr">
        <is>
          <t>Excellent</t>
        </is>
      </c>
      <c r="C41" s="8" t="inlineStr">
        <is>
          <t>Positive feedback; use as peer example</t>
        </is>
      </c>
      <c r="D41" s="9" t="inlineStr"/>
    </row>
    <row r="42">
      <c r="A42" s="9" t="inlineStr">
        <is>
          <t>90 – 94</t>
        </is>
      </c>
      <c r="B42" s="9" t="inlineStr">
        <is>
          <t>Meets Expectations</t>
        </is>
      </c>
      <c r="C42" s="8" t="inlineStr">
        <is>
          <t>Standard feedback; no action required</t>
        </is>
      </c>
      <c r="D42" s="9" t="inlineStr"/>
    </row>
    <row r="43">
      <c r="A43" s="9" t="inlineStr">
        <is>
          <t>80 – 89</t>
        </is>
      </c>
      <c r="B43" s="9" t="inlineStr">
        <is>
          <t>Needs Improvement</t>
        </is>
      </c>
      <c r="C43" s="8" t="inlineStr">
        <is>
          <t>Targeted education; monitor next cycle</t>
        </is>
      </c>
      <c r="D43" s="9" t="inlineStr"/>
    </row>
    <row r="44">
      <c r="A44" s="9" t="inlineStr">
        <is>
          <t>&lt; 80</t>
        </is>
      </c>
      <c r="B44" s="9" t="inlineStr">
        <is>
          <t>Corrective Education Required</t>
        </is>
      </c>
      <c r="C44" s="8" t="inlineStr">
        <is>
          <t>Structured plan + re-audit within 60–90 days</t>
        </is>
      </c>
      <c r="D44" s="9" t="inlineStr"/>
    </row>
    <row r="46" ht="22" customHeight="1">
      <c r="A46" s="15" t="inlineStr">
        <is>
          <t>Sampling Methodology</t>
        </is>
      </c>
    </row>
    <row r="47">
      <c r="A47" s="16" t="inlineStr">
        <is>
          <t>Category</t>
        </is>
      </c>
      <c r="B47" s="16" t="inlineStr">
        <is>
          <t>Charts / Provider / Month</t>
        </is>
      </c>
      <c r="C47" s="16" t="inlineStr">
        <is>
          <t>Notes</t>
        </is>
      </c>
      <c r="D47" s="16" t="inlineStr"/>
    </row>
    <row r="48">
      <c r="A48" s="9" t="inlineStr">
        <is>
          <t>Diabetes</t>
        </is>
      </c>
      <c r="B48" s="9" t="inlineStr">
        <is>
          <t>3</t>
        </is>
      </c>
      <c r="C48" s="8" t="inlineStr">
        <is>
          <t>HCC-heavy population; A1c / neuropathy / CKD combos</t>
        </is>
      </c>
      <c r="D48" s="9" t="inlineStr"/>
    </row>
    <row r="49">
      <c r="A49" s="9" t="inlineStr">
        <is>
          <t>Chronic Kidney Disease</t>
        </is>
      </c>
      <c r="B49" s="9" t="inlineStr">
        <is>
          <t>2</t>
        </is>
      </c>
      <c r="C49" s="8" t="inlineStr">
        <is>
          <t>Verify stage specificity</t>
        </is>
      </c>
      <c r="D49" s="9" t="inlineStr"/>
    </row>
    <row r="50">
      <c r="A50" s="9" t="inlineStr">
        <is>
          <t>Annual Wellness Visit</t>
        </is>
      </c>
      <c r="B50" s="9" t="inlineStr">
        <is>
          <t>2</t>
        </is>
      </c>
      <c r="C50" s="8" t="inlineStr">
        <is>
          <t>Preventive quality measures + HCC recapture</t>
        </is>
      </c>
      <c r="D50" s="9" t="inlineStr"/>
    </row>
    <row r="51">
      <c r="A51" s="9" t="inlineStr">
        <is>
          <t>High-RAF Patients</t>
        </is>
      </c>
      <c r="B51" s="9" t="inlineStr">
        <is>
          <t>2</t>
        </is>
      </c>
      <c r="C51" s="8" t="inlineStr">
        <is>
          <t>Prior-year HCCs; validate recapture</t>
        </is>
      </c>
      <c r="D51" s="9" t="inlineStr"/>
    </row>
    <row r="52">
      <c r="A52" s="9" t="inlineStr">
        <is>
          <t>Random Selection</t>
        </is>
      </c>
      <c r="B52" s="9" t="inlineStr">
        <is>
          <t>1</t>
        </is>
      </c>
      <c r="C52" s="8" t="inlineStr">
        <is>
          <t>Bias check</t>
        </is>
      </c>
      <c r="D52" s="9" t="inlineStr"/>
    </row>
    <row r="53">
      <c r="A53" s="16" t="inlineStr">
        <is>
          <t>TOTAL</t>
        </is>
      </c>
      <c r="B53" s="16" t="inlineStr">
        <is>
          <t>10</t>
        </is>
      </c>
      <c r="C53" s="11" t="inlineStr"/>
      <c r="D53" s="16" t="inlineStr"/>
    </row>
  </sheetData>
  <mergeCells count="7">
    <mergeCell ref="A1:D1"/>
    <mergeCell ref="A4:D4"/>
    <mergeCell ref="A26:D26"/>
    <mergeCell ref="A39:D39"/>
    <mergeCell ref="A2:D2"/>
    <mergeCell ref="A11:D11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2026-07-13T11:35:10Z</dcterms:created>
  <dcterms:modified xsi:type="dcterms:W3CDTF">2026-07-13T11:35:11Z</dcterms:modified>
</cp:coreProperties>
</file>