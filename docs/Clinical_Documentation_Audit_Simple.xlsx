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  <sheet name="Quarterly Re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Charts by Performance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Report'!C11</f>
            </strRef>
          </tx>
          <spPr>
            <a:ln>
              <a:prstDash val="solid"/>
            </a:ln>
          </spPr>
          <cat>
            <numRef>
              <f>'Quarterly Report'!$B$12:$B$15</f>
            </numRef>
          </cat>
          <val>
            <numRef>
              <f>'Quarterly Report'!$C$12:$C$15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numFmt formatCode="0" sourceLinked="0"/>
        <majorTickMark val="none"/>
        <minorTickMark val="none"/>
        <crossAx val="10"/>
        <maj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Charts by Category</a:t>
            </a:r>
          </a:p>
        </rich>
      </tx>
    </title>
    <plotArea>
      <pieChart>
        <varyColors val="1"/>
        <ser>
          <idx val="0"/>
          <order val="0"/>
          <tx>
            <strRef>
              <f>'Quarterly Report'!F11</f>
            </strRef>
          </tx>
          <spPr>
            <a:ln>
              <a:prstDash val="solid"/>
            </a:ln>
          </spPr>
          <cat>
            <numRef>
              <f>'Quarterly Report'!$E$12:$E$16</f>
            </numRef>
          </cat>
          <val>
            <numRef>
              <f>'Quarterly Report'!$F$12:$F$16</f>
            </numRef>
          </val>
        </ser>
        <dLbls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Compliance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Report'!J11</f>
            </strRef>
          </tx>
          <spPr>
            <a:ln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'Quarterly Report'!$H$12:$H$14</f>
            </numRef>
          </cat>
          <val>
            <numRef>
              <f>'Quarterly Report'!$J$12:$J$14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Compliance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Charts Audited per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Report'!I11</f>
            </strRef>
          </tx>
          <spPr>
            <a:ln>
              <a:prstDash val="solid"/>
            </a:ln>
          </spPr>
          <cat>
            <numRef>
              <f>'Quarterly Report'!$H$12:$H$14</f>
            </numRef>
          </cat>
          <val>
            <numRef>
              <f>'Quarterly Report'!$I$12:$I$14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43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35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35</row>
      <rowOff>0</rowOff>
    </from>
    <ext cx="43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</row>
    <row r="7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</row>
    <row r="8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</row>
    <row r="9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</row>
    <row r="10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</row>
    <row r="1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</row>
    <row r="12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</row>
    <row r="13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J16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26" customWidth="1" min="8" max="8"/>
    <col width="20" customWidth="1" min="9" max="9"/>
    <col width="20" customWidth="1" min="10" max="10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8" customHeight="1"/>
    <row r="10" ht="26" customHeight="1">
      <c r="B10" s="48" t="inlineStr">
        <is>
          <t>Charts by Performance Band</t>
        </is>
      </c>
      <c r="C10" s="54" t="n"/>
      <c r="E10" s="48" t="inlineStr">
        <is>
          <t>Charts by Category</t>
        </is>
      </c>
      <c r="F10" s="54" t="n"/>
      <c r="H10" s="48" t="inlineStr">
        <is>
          <t>Monthly Trend — Avg Compliance %</t>
        </is>
      </c>
      <c r="I10" s="53" t="n"/>
      <c r="J10" s="54" t="n"/>
    </row>
    <row r="11">
      <c r="B11" s="7" t="inlineStr">
        <is>
          <t>Band</t>
        </is>
      </c>
      <c r="C11" s="7" t="inlineStr">
        <is>
          <t>Count</t>
        </is>
      </c>
      <c r="E11" s="7" t="inlineStr">
        <is>
          <t>Category</t>
        </is>
      </c>
      <c r="F11" s="7" t="inlineStr">
        <is>
          <t>Count</t>
        </is>
      </c>
      <c r="H11" s="7" t="inlineStr">
        <is>
          <t>Month</t>
        </is>
      </c>
      <c r="I11" s="7" t="inlineStr">
        <is>
          <t>Charts</t>
        </is>
      </c>
      <c r="J11" s="7" t="inlineStr">
        <is>
          <t>Avg %</t>
        </is>
      </c>
    </row>
    <row r="12">
      <c r="B12" s="10" t="inlineStr">
        <is>
          <t>Excellent</t>
        </is>
      </c>
      <c r="C12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Log'!$G$5:$G$200="Excellent"))</f>
        <v/>
      </c>
      <c r="E12" s="10" t="inlineStr">
        <is>
          <t>Diabetes</t>
        </is>
      </c>
      <c r="F12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Log'!$E$5:$E$200="Diabetes"))</f>
        <v/>
      </c>
      <c r="H12" s="9">
        <f>TEXT(DATE($E$4,(MATCH($C$4,{"Q1","Q2","Q3","Q4"},0)-1)*3+1,1),"mmm yyyy")</f>
        <v/>
      </c>
      <c r="I12" s="33">
        <f>SUMPRODUCT(('Audit Log'!$A$5:$A$200&lt;&gt;"")*(MONTH('Audit Log'!$A$5:$A$200)=((MATCH($C$4,{"Q1","Q2","Q3","Q4"},0)-1)*3+1))*(YEAR('Audit Log'!$A$5:$A$200)=$E$4))</f>
        <v/>
      </c>
      <c r="J12" s="37">
        <f>IFERROR(SUMPRODUCT(('Audit Log'!$A$5:$A$200&lt;&gt;"")*(MONTH('Audit Log'!$A$5:$A$200)=((MATCH($C$4,{"Q1","Q2","Q3","Q4"},0)-1)*3+1))*(YEAR('Audit Log'!$A$5:$A$200)=$E$4)*'Audit Log'!$F$5:$F$200)/SUMPRODUCT(('Audit Log'!$A$5:$A$200&lt;&gt;"")*(MONTH('Audit Log'!$A$5:$A$200)=((MATCH($C$4,{"Q1","Q2","Q3","Q4"},0)-1)*3+1))*(YEAR('Audit Log'!$A$5:$A$200)=$E$4)),"")</f>
        <v/>
      </c>
    </row>
    <row r="13">
      <c r="B13" s="10" t="inlineStr">
        <is>
          <t>Meets Expectations</t>
        </is>
      </c>
      <c r="C13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Log'!$G$5:$G$200="Meets Expectations"))</f>
        <v/>
      </c>
      <c r="E13" s="10" t="inlineStr">
        <is>
          <t>Chronic Kidney Disease</t>
        </is>
      </c>
      <c r="F13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Log'!$E$5:$E$200="Chronic Kidney Disease"))</f>
        <v/>
      </c>
      <c r="H13" s="9">
        <f>TEXT(DATE($E$4,(MATCH($C$4,{"Q1","Q2","Q3","Q4"},0)-1)*3+2,1),"mmm yyyy")</f>
        <v/>
      </c>
      <c r="I13" s="33">
        <f>SUMPRODUCT(('Audit Log'!$A$5:$A$200&lt;&gt;"")*(MONTH('Audit Log'!$A$5:$A$200)=((MATCH($C$4,{"Q1","Q2","Q3","Q4"},0)-1)*3+2))*(YEAR('Audit Log'!$A$5:$A$200)=$E$4))</f>
        <v/>
      </c>
      <c r="J13" s="37">
        <f>IFERROR(SUMPRODUCT(('Audit Log'!$A$5:$A$200&lt;&gt;"")*(MONTH('Audit Log'!$A$5:$A$200)=((MATCH($C$4,{"Q1","Q2","Q3","Q4"},0)-1)*3+2))*(YEAR('Audit Log'!$A$5:$A$200)=$E$4)*'Audit Log'!$F$5:$F$200)/SUMPRODUCT(('Audit Log'!$A$5:$A$200&lt;&gt;"")*(MONTH('Audit Log'!$A$5:$A$200)=((MATCH($C$4,{"Q1","Q2","Q3","Q4"},0)-1)*3+2))*(YEAR('Audit Log'!$A$5:$A$200)=$E$4)),"")</f>
        <v/>
      </c>
    </row>
    <row r="14">
      <c r="B14" s="10" t="inlineStr">
        <is>
          <t>Needs Improvement</t>
        </is>
      </c>
      <c r="C14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Log'!$G$5:$G$200="Needs Improvement"))</f>
        <v/>
      </c>
      <c r="E14" s="10" t="inlineStr">
        <is>
          <t>Annual Wellness Visit</t>
        </is>
      </c>
      <c r="F14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Log'!$E$5:$E$200="Annual Wellness Visit"))</f>
        <v/>
      </c>
      <c r="H14" s="9">
        <f>TEXT(DATE($E$4,(MATCH($C$4,{"Q1","Q2","Q3","Q4"},0)-1)*3+3,1),"mmm yyyy")</f>
        <v/>
      </c>
      <c r="I14" s="33">
        <f>SUMPRODUCT(('Audit Log'!$A$5:$A$200&lt;&gt;"")*(MONTH('Audit Log'!$A$5:$A$200)=((MATCH($C$4,{"Q1","Q2","Q3","Q4"},0)-1)*3+3))*(YEAR('Audit Log'!$A$5:$A$200)=$E$4))</f>
        <v/>
      </c>
      <c r="J14" s="37">
        <f>IFERROR(SUMPRODUCT(('Audit Log'!$A$5:$A$200&lt;&gt;"")*(MONTH('Audit Log'!$A$5:$A$200)=((MATCH($C$4,{"Q1","Q2","Q3","Q4"},0)-1)*3+3))*(YEAR('Audit Log'!$A$5:$A$200)=$E$4)*'Audit Log'!$F$5:$F$200)/SUMPRODUCT(('Audit Log'!$A$5:$A$200&lt;&gt;"")*(MONTH('Audit Log'!$A$5:$A$200)=((MATCH($C$4,{"Q1","Q2","Q3","Q4"},0)-1)*3+3))*(YEAR('Audit Log'!$A$5:$A$200)=$E$4)),"")</f>
        <v/>
      </c>
    </row>
    <row r="15">
      <c r="B15" s="10" t="inlineStr">
        <is>
          <t>Corrective Education Required</t>
        </is>
      </c>
      <c r="C15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Log'!$G$5:$G$200="Corrective Education Required"))</f>
        <v/>
      </c>
      <c r="E15" s="10" t="inlineStr">
        <is>
          <t>High RAF Patient</t>
        </is>
      </c>
      <c r="F15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Log'!$E$5:$E$200="High RAF Patient"))</f>
        <v/>
      </c>
    </row>
    <row r="16">
      <c r="E16" s="10" t="inlineStr">
        <is>
          <t>Random Selection</t>
        </is>
      </c>
      <c r="F16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Log'!$E$5:$E$200="Random Selection"))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3">
    <mergeCell ref="D6:E6"/>
    <mergeCell ref="B6:C6"/>
    <mergeCell ref="A1:J1"/>
    <mergeCell ref="H10:J10"/>
    <mergeCell ref="H6:I6"/>
    <mergeCell ref="D7:E8"/>
    <mergeCell ref="B7:C8"/>
    <mergeCell ref="E10:F10"/>
    <mergeCell ref="H7:I8"/>
    <mergeCell ref="F7:G8"/>
    <mergeCell ref="B10:C10"/>
    <mergeCell ref="F6:G6"/>
    <mergeCell ref="A2:J2"/>
  </mergeCells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2026-07-13T12:13:08Z</dcterms:modified>
</cp:coreProperties>
</file>