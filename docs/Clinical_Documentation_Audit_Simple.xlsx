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Monthly Batch (10)" sheetId="2" state="visible" r:id="rId2"/>
    <sheet xmlns:r="http://schemas.openxmlformats.org/officeDocument/2006/relationships" name="Audit Log" sheetId="3" state="visible" r:id="rId3"/>
    <sheet xmlns:r="http://schemas.openxmlformats.org/officeDocument/2006/relationships" name="Quick Reference" sheetId="4" state="visible" r:id="rId4"/>
    <sheet xmlns:r="http://schemas.openxmlformats.org/officeDocument/2006/relationships" name="Quarterly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K48"/>
  <sheetViews>
    <sheetView showGridLines="0" zoomScale="10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8" customHeight="1">
      <c r="A1" s="68" t="inlineStr">
        <is>
          <t>Monthly Batch — Audit up to 10 Claims Side by Side</t>
        </is>
      </c>
    </row>
    <row r="2" ht="26" customHeight="1">
      <c r="A2" s="69" t="inlineStr">
        <is>
          <t>One column per claim · fill in the yellow header + ratings · each column's Compliance % and Rating compute automatically. Nothing gets erased between charts.</t>
        </is>
      </c>
    </row>
    <row r="3" ht="8" customHeight="1"/>
    <row r="4" ht="22" customHeight="1">
      <c r="A4" s="27" t="inlineStr">
        <is>
          <t>Provider</t>
        </is>
      </c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</row>
    <row r="5" ht="22" customHeight="1">
      <c r="A5" s="27" t="inlineStr">
        <is>
          <t>Claim Number</t>
        </is>
      </c>
      <c r="B5" s="70" t="n"/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</row>
    <row r="6" ht="22" customHeight="1">
      <c r="A6" s="27" t="inlineStr">
        <is>
          <t>Date of Service</t>
        </is>
      </c>
      <c r="B6" s="70" t="n"/>
      <c r="C6" s="70" t="n"/>
      <c r="D6" s="70" t="n"/>
      <c r="E6" s="70" t="n"/>
      <c r="F6" s="70" t="n"/>
      <c r="G6" s="70" t="n"/>
      <c r="H6" s="70" t="n"/>
      <c r="I6" s="70" t="n"/>
      <c r="J6" s="70" t="n"/>
      <c r="K6" s="70" t="n"/>
    </row>
    <row r="7" ht="22" customHeight="1">
      <c r="A7" s="27" t="inlineStr">
        <is>
          <t>Category</t>
        </is>
      </c>
      <c r="B7" s="70" t="n"/>
      <c r="C7" s="70" t="n"/>
      <c r="D7" s="70" t="n"/>
      <c r="E7" s="70" t="n"/>
      <c r="F7" s="70" t="n"/>
      <c r="G7" s="70" t="n"/>
      <c r="H7" s="70" t="n"/>
      <c r="I7" s="70" t="n"/>
      <c r="J7" s="70" t="n"/>
      <c r="K7" s="70" t="n"/>
    </row>
    <row r="8" ht="22" customHeight="1">
      <c r="A8" s="27" t="inlineStr">
        <is>
          <t>Payer</t>
        </is>
      </c>
      <c r="B8" s="70" t="n"/>
      <c r="C8" s="70" t="n"/>
      <c r="D8" s="70" t="n"/>
      <c r="E8" s="70" t="n"/>
      <c r="F8" s="70" t="n"/>
      <c r="G8" s="70" t="n"/>
      <c r="H8" s="70" t="n"/>
      <c r="I8" s="70" t="n"/>
      <c r="J8" s="70" t="n"/>
      <c r="K8" s="70" t="n"/>
    </row>
    <row r="9" ht="26" customHeight="1">
      <c r="A9" s="71" t="inlineStr">
        <is>
          <t>Element ↓  ·  Chart →</t>
        </is>
      </c>
      <c r="B9" s="6" t="inlineStr">
        <is>
          <t>#1</t>
        </is>
      </c>
      <c r="C9" s="6" t="inlineStr">
        <is>
          <t>#2</t>
        </is>
      </c>
      <c r="D9" s="6" t="inlineStr">
        <is>
          <t>#3</t>
        </is>
      </c>
      <c r="E9" s="6" t="inlineStr">
        <is>
          <t>#4</t>
        </is>
      </c>
      <c r="F9" s="6" t="inlineStr">
        <is>
          <t>#5</t>
        </is>
      </c>
      <c r="G9" s="6" t="inlineStr">
        <is>
          <t>#6</t>
        </is>
      </c>
      <c r="H9" s="6" t="inlineStr">
        <is>
          <t>#7</t>
        </is>
      </c>
      <c r="I9" s="6" t="inlineStr">
        <is>
          <t>#8</t>
        </is>
      </c>
      <c r="J9" s="6" t="inlineStr">
        <is>
          <t>#9</t>
        </is>
      </c>
      <c r="K9" s="6" t="inlineStr">
        <is>
          <t>#10</t>
        </is>
      </c>
    </row>
    <row r="10" ht="26" customHeight="1">
      <c r="A10" s="72" t="inlineStr">
        <is>
          <t xml:space="preserve">  A · Diagnosis Accuracy   (30%)</t>
        </is>
      </c>
    </row>
    <row r="11" ht="22" customHeight="1">
      <c r="A11" s="73" t="inlineStr">
        <is>
          <t>A1 — Diagnoses clinically supported</t>
        </is>
      </c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</row>
    <row r="12" ht="22" customHeight="1">
      <c r="A12" s="73" t="inlineStr">
        <is>
          <t>A2 — Chronic conditions actively addressed</t>
        </is>
      </c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</row>
    <row r="13" ht="22" customHeight="1">
      <c r="A13" s="73" t="inlineStr">
        <is>
          <t>A3 — No unsupported / resolved dx billed</t>
        </is>
      </c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</row>
    <row r="14" ht="22" customHeight="1">
      <c r="A14" s="73" t="inlineStr">
        <is>
          <t>A4 — Problem list matches A&amp;P</t>
        </is>
      </c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</row>
    <row r="15" ht="26" customHeight="1">
      <c r="A15" s="72" t="inlineStr">
        <is>
          <t xml:space="preserve">  B · Documentation Specificity   (25%)</t>
        </is>
      </c>
    </row>
    <row r="16" ht="22" customHeight="1">
      <c r="A16" s="73" t="inlineStr">
        <is>
          <t>B1 — ICD-10 at highest specificity</t>
        </is>
      </c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</row>
    <row r="17" ht="22" customHeight="1">
      <c r="A17" s="73" t="inlineStr">
        <is>
          <t>B2 — Diabetes: type + complications + control</t>
        </is>
      </c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</row>
    <row r="18" ht="22" customHeight="1">
      <c r="A18" s="73" t="inlineStr">
        <is>
          <t>B3 — S/O/A/P tell one consistent story</t>
        </is>
      </c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</row>
    <row r="19" ht="22" customHeight="1">
      <c r="A19" s="73" t="inlineStr">
        <is>
          <t>B4 — Note signed / dated / closed</t>
        </is>
      </c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</row>
    <row r="20" ht="26" customHeight="1">
      <c r="A20" s="72" t="inlineStr">
        <is>
          <t xml:space="preserve">  C · SOAP Note Structure   (25%)</t>
        </is>
      </c>
    </row>
    <row r="21" ht="22" customHeight="1">
      <c r="A21" s="73" t="inlineStr">
        <is>
          <t>C1 — Subjective documented</t>
        </is>
      </c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</row>
    <row r="22" ht="22" customHeight="1">
      <c r="A22" s="73" t="inlineStr">
        <is>
          <t>C2 — Objective documented</t>
        </is>
      </c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</row>
    <row r="23" ht="22" customHeight="1">
      <c r="A23" s="73" t="inlineStr">
        <is>
          <t>C3 — Assessment (dx with reasoning)</t>
        </is>
      </c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</row>
    <row r="24" ht="22" customHeight="1">
      <c r="A24" s="73" t="inlineStr">
        <is>
          <t>C4 — Plan documented</t>
        </is>
      </c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</row>
    <row r="25" ht="26" customHeight="1">
      <c r="A25" s="72" t="inlineStr">
        <is>
          <t xml:space="preserve">  D · HCC Capture   (10%)</t>
        </is>
      </c>
    </row>
    <row r="26" ht="22" customHeight="1">
      <c r="A26" s="73" t="inlineStr">
        <is>
          <t>D1 — Prior-year HCCs recaptured</t>
        </is>
      </c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22" customHeight="1">
      <c r="A27" s="73" t="inlineStr">
        <is>
          <t>D2 — Suspected chronic conditions captured</t>
        </is>
      </c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26" customHeight="1">
      <c r="A28" s="72" t="inlineStr">
        <is>
          <t xml:space="preserve">  E · Documentation Supporting Quality Measures   (10%)</t>
        </is>
      </c>
    </row>
    <row r="29" ht="22" customHeight="1">
      <c r="A29" s="73" t="inlineStr">
        <is>
          <t>E1 — Screening values documented (score/number)</t>
        </is>
      </c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  <row r="30" ht="22" customHeight="1">
      <c r="A30" s="73" t="inlineStr">
        <is>
          <t>E2 — Follow-up plan when positive/abnormal</t>
        </is>
      </c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</row>
    <row r="32" ht="6" customHeight="1"/>
    <row r="33" ht="24" customHeight="1">
      <c r="A33" s="75" t="inlineStr">
        <is>
          <t>SECTION SUBTOTALS</t>
        </is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 ht="22" customHeight="1">
      <c r="A34" s="27" t="inlineStr">
        <is>
          <t xml:space="preserve">  A · % Met  (weight 30%)</t>
        </is>
      </c>
      <c r="B34" s="76">
        <f>IFERROR((COUNTIF(B11:B14,"✓")+COUNTIF(B11:B14,"△")*0.5)/(COUNTIF(B11:B14,"✓")+COUNTIF(B11:B14,"△")+COUNTIF(B11:B14,"✗")),"")</f>
        <v/>
      </c>
      <c r="C34" s="76">
        <f>IFERROR((COUNTIF(C11:C14,"✓")+COUNTIF(C11:C14,"△")*0.5)/(COUNTIF(C11:C14,"✓")+COUNTIF(C11:C14,"△")+COUNTIF(C11:C14,"✗")),"")</f>
        <v/>
      </c>
      <c r="D34" s="76">
        <f>IFERROR((COUNTIF(D11:D14,"✓")+COUNTIF(D11:D14,"△")*0.5)/(COUNTIF(D11:D14,"✓")+COUNTIF(D11:D14,"△")+COUNTIF(D11:D14,"✗")),"")</f>
        <v/>
      </c>
      <c r="E34" s="76">
        <f>IFERROR((COUNTIF(E11:E14,"✓")+COUNTIF(E11:E14,"△")*0.5)/(COUNTIF(E11:E14,"✓")+COUNTIF(E11:E14,"△")+COUNTIF(E11:E14,"✗")),"")</f>
        <v/>
      </c>
      <c r="F34" s="76">
        <f>IFERROR((COUNTIF(F11:F14,"✓")+COUNTIF(F11:F14,"△")*0.5)/(COUNTIF(F11:F14,"✓")+COUNTIF(F11:F14,"△")+COUNTIF(F11:F14,"✗")),"")</f>
        <v/>
      </c>
      <c r="G34" s="76">
        <f>IFERROR((COUNTIF(G11:G14,"✓")+COUNTIF(G11:G14,"△")*0.5)/(COUNTIF(G11:G14,"✓")+COUNTIF(G11:G14,"△")+COUNTIF(G11:G14,"✗")),"")</f>
        <v/>
      </c>
      <c r="H34" s="76">
        <f>IFERROR((COUNTIF(H11:H14,"✓")+COUNTIF(H11:H14,"△")*0.5)/(COUNTIF(H11:H14,"✓")+COUNTIF(H11:H14,"△")+COUNTIF(H11:H14,"✗")),"")</f>
        <v/>
      </c>
      <c r="I34" s="76">
        <f>IFERROR((COUNTIF(I11:I14,"✓")+COUNTIF(I11:I14,"△")*0.5)/(COUNTIF(I11:I14,"✓")+COUNTIF(I11:I14,"△")+COUNTIF(I11:I14,"✗")),"")</f>
        <v/>
      </c>
      <c r="J34" s="76">
        <f>IFERROR((COUNTIF(J11:J14,"✓")+COUNTIF(J11:J14,"△")*0.5)/(COUNTIF(J11:J14,"✓")+COUNTIF(J11:J14,"△")+COUNTIF(J11:J14,"✗")),"")</f>
        <v/>
      </c>
      <c r="K34" s="76">
        <f>IFERROR((COUNTIF(K11:K14,"✓")+COUNTIF(K11:K14,"△")*0.5)/(COUNTIF(K11:K14,"✓")+COUNTIF(K11:K14,"△")+COUNTIF(K11:K14,"✗")),"")</f>
        <v/>
      </c>
    </row>
    <row r="35" ht="22" customHeight="1">
      <c r="A35" s="27" t="inlineStr">
        <is>
          <t xml:space="preserve">  B · % Met  (weight 25%)</t>
        </is>
      </c>
      <c r="B35" s="76">
        <f>IFERROR((COUNTIF(B16:B19,"✓")+COUNTIF(B16:B19,"△")*0.5)/(COUNTIF(B16:B19,"✓")+COUNTIF(B16:B19,"△")+COUNTIF(B16:B19,"✗")),"")</f>
        <v/>
      </c>
      <c r="C35" s="76">
        <f>IFERROR((COUNTIF(C16:C19,"✓")+COUNTIF(C16:C19,"△")*0.5)/(COUNTIF(C16:C19,"✓")+COUNTIF(C16:C19,"△")+COUNTIF(C16:C19,"✗")),"")</f>
        <v/>
      </c>
      <c r="D35" s="76">
        <f>IFERROR((COUNTIF(D16:D19,"✓")+COUNTIF(D16:D19,"△")*0.5)/(COUNTIF(D16:D19,"✓")+COUNTIF(D16:D19,"△")+COUNTIF(D16:D19,"✗")),"")</f>
        <v/>
      </c>
      <c r="E35" s="76">
        <f>IFERROR((COUNTIF(E16:E19,"✓")+COUNTIF(E16:E19,"△")*0.5)/(COUNTIF(E16:E19,"✓")+COUNTIF(E16:E19,"△")+COUNTIF(E16:E19,"✗")),"")</f>
        <v/>
      </c>
      <c r="F35" s="76">
        <f>IFERROR((COUNTIF(F16:F19,"✓")+COUNTIF(F16:F19,"△")*0.5)/(COUNTIF(F16:F19,"✓")+COUNTIF(F16:F19,"△")+COUNTIF(F16:F19,"✗")),"")</f>
        <v/>
      </c>
      <c r="G35" s="76">
        <f>IFERROR((COUNTIF(G16:G19,"✓")+COUNTIF(G16:G19,"△")*0.5)/(COUNTIF(G16:G19,"✓")+COUNTIF(G16:G19,"△")+COUNTIF(G16:G19,"✗")),"")</f>
        <v/>
      </c>
      <c r="H35" s="76">
        <f>IFERROR((COUNTIF(H16:H19,"✓")+COUNTIF(H16:H19,"△")*0.5)/(COUNTIF(H16:H19,"✓")+COUNTIF(H16:H19,"△")+COUNTIF(H16:H19,"✗")),"")</f>
        <v/>
      </c>
      <c r="I35" s="76">
        <f>IFERROR((COUNTIF(I16:I19,"✓")+COUNTIF(I16:I19,"△")*0.5)/(COUNTIF(I16:I19,"✓")+COUNTIF(I16:I19,"△")+COUNTIF(I16:I19,"✗")),"")</f>
        <v/>
      </c>
      <c r="J35" s="76">
        <f>IFERROR((COUNTIF(J16:J19,"✓")+COUNTIF(J16:J19,"△")*0.5)/(COUNTIF(J16:J19,"✓")+COUNTIF(J16:J19,"△")+COUNTIF(J16:J19,"✗")),"")</f>
        <v/>
      </c>
      <c r="K35" s="76">
        <f>IFERROR((COUNTIF(K16:K19,"✓")+COUNTIF(K16:K19,"△")*0.5)/(COUNTIF(K16:K19,"✓")+COUNTIF(K16:K19,"△")+COUNTIF(K16:K19,"✗")),"")</f>
        <v/>
      </c>
    </row>
    <row r="36" ht="22" customHeight="1">
      <c r="A36" s="27" t="inlineStr">
        <is>
          <t xml:space="preserve">  C · % Met  (weight 25%)</t>
        </is>
      </c>
      <c r="B36" s="76">
        <f>IFERROR((COUNTIF(B21:B24,"✓")+COUNTIF(B21:B24,"△")*0.5)/(COUNTIF(B21:B24,"✓")+COUNTIF(B21:B24,"△")+COUNTIF(B21:B24,"✗")),"")</f>
        <v/>
      </c>
      <c r="C36" s="76">
        <f>IFERROR((COUNTIF(C21:C24,"✓")+COUNTIF(C21:C24,"△")*0.5)/(COUNTIF(C21:C24,"✓")+COUNTIF(C21:C24,"△")+COUNTIF(C21:C24,"✗")),"")</f>
        <v/>
      </c>
      <c r="D36" s="76">
        <f>IFERROR((COUNTIF(D21:D24,"✓")+COUNTIF(D21:D24,"△")*0.5)/(COUNTIF(D21:D24,"✓")+COUNTIF(D21:D24,"△")+COUNTIF(D21:D24,"✗")),"")</f>
        <v/>
      </c>
      <c r="E36" s="76">
        <f>IFERROR((COUNTIF(E21:E24,"✓")+COUNTIF(E21:E24,"△")*0.5)/(COUNTIF(E21:E24,"✓")+COUNTIF(E21:E24,"△")+COUNTIF(E21:E24,"✗")),"")</f>
        <v/>
      </c>
      <c r="F36" s="76">
        <f>IFERROR((COUNTIF(F21:F24,"✓")+COUNTIF(F21:F24,"△")*0.5)/(COUNTIF(F21:F24,"✓")+COUNTIF(F21:F24,"△")+COUNTIF(F21:F24,"✗")),"")</f>
        <v/>
      </c>
      <c r="G36" s="76">
        <f>IFERROR((COUNTIF(G21:G24,"✓")+COUNTIF(G21:G24,"△")*0.5)/(COUNTIF(G21:G24,"✓")+COUNTIF(G21:G24,"△")+COUNTIF(G21:G24,"✗")),"")</f>
        <v/>
      </c>
      <c r="H36" s="76">
        <f>IFERROR((COUNTIF(H21:H24,"✓")+COUNTIF(H21:H24,"△")*0.5)/(COUNTIF(H21:H24,"✓")+COUNTIF(H21:H24,"△")+COUNTIF(H21:H24,"✗")),"")</f>
        <v/>
      </c>
      <c r="I36" s="76">
        <f>IFERROR((COUNTIF(I21:I24,"✓")+COUNTIF(I21:I24,"△")*0.5)/(COUNTIF(I21:I24,"✓")+COUNTIF(I21:I24,"△")+COUNTIF(I21:I24,"✗")),"")</f>
        <v/>
      </c>
      <c r="J36" s="76">
        <f>IFERROR((COUNTIF(J21:J24,"✓")+COUNTIF(J21:J24,"△")*0.5)/(COUNTIF(J21:J24,"✓")+COUNTIF(J21:J24,"△")+COUNTIF(J21:J24,"✗")),"")</f>
        <v/>
      </c>
      <c r="K36" s="76">
        <f>IFERROR((COUNTIF(K21:K24,"✓")+COUNTIF(K21:K24,"△")*0.5)/(COUNTIF(K21:K24,"✓")+COUNTIF(K21:K24,"△")+COUNTIF(K21:K24,"✗")),"")</f>
        <v/>
      </c>
    </row>
    <row r="37" ht="22" customHeight="1">
      <c r="A37" s="27" t="inlineStr">
        <is>
          <t xml:space="preserve">  D · % Met  (weight 10%)</t>
        </is>
      </c>
      <c r="B37" s="76">
        <f>IFERROR((COUNTIF(B26:B27,"✓")+COUNTIF(B26:B27,"△")*0.5)/(COUNTIF(B26:B27,"✓")+COUNTIF(B26:B27,"△")+COUNTIF(B26:B27,"✗")),"")</f>
        <v/>
      </c>
      <c r="C37" s="76">
        <f>IFERROR((COUNTIF(C26:C27,"✓")+COUNTIF(C26:C27,"△")*0.5)/(COUNTIF(C26:C27,"✓")+COUNTIF(C26:C27,"△")+COUNTIF(C26:C27,"✗")),"")</f>
        <v/>
      </c>
      <c r="D37" s="76">
        <f>IFERROR((COUNTIF(D26:D27,"✓")+COUNTIF(D26:D27,"△")*0.5)/(COUNTIF(D26:D27,"✓")+COUNTIF(D26:D27,"△")+COUNTIF(D26:D27,"✗")),"")</f>
        <v/>
      </c>
      <c r="E37" s="76">
        <f>IFERROR((COUNTIF(E26:E27,"✓")+COUNTIF(E26:E27,"△")*0.5)/(COUNTIF(E26:E27,"✓")+COUNTIF(E26:E27,"△")+COUNTIF(E26:E27,"✗")),"")</f>
        <v/>
      </c>
      <c r="F37" s="76">
        <f>IFERROR((COUNTIF(F26:F27,"✓")+COUNTIF(F26:F27,"△")*0.5)/(COUNTIF(F26:F27,"✓")+COUNTIF(F26:F27,"△")+COUNTIF(F26:F27,"✗")),"")</f>
        <v/>
      </c>
      <c r="G37" s="76">
        <f>IFERROR((COUNTIF(G26:G27,"✓")+COUNTIF(G26:G27,"△")*0.5)/(COUNTIF(G26:G27,"✓")+COUNTIF(G26:G27,"△")+COUNTIF(G26:G27,"✗")),"")</f>
        <v/>
      </c>
      <c r="H37" s="76">
        <f>IFERROR((COUNTIF(H26:H27,"✓")+COUNTIF(H26:H27,"△")*0.5)/(COUNTIF(H26:H27,"✓")+COUNTIF(H26:H27,"△")+COUNTIF(H26:H27,"✗")),"")</f>
        <v/>
      </c>
      <c r="I37" s="76">
        <f>IFERROR((COUNTIF(I26:I27,"✓")+COUNTIF(I26:I27,"△")*0.5)/(COUNTIF(I26:I27,"✓")+COUNTIF(I26:I27,"△")+COUNTIF(I26:I27,"✗")),"")</f>
        <v/>
      </c>
      <c r="J37" s="76">
        <f>IFERROR((COUNTIF(J26:J27,"✓")+COUNTIF(J26:J27,"△")*0.5)/(COUNTIF(J26:J27,"✓")+COUNTIF(J26:J27,"△")+COUNTIF(J26:J27,"✗")),"")</f>
        <v/>
      </c>
      <c r="K37" s="76">
        <f>IFERROR((COUNTIF(K26:K27,"✓")+COUNTIF(K26:K27,"△")*0.5)/(COUNTIF(K26:K27,"✓")+COUNTIF(K26:K27,"△")+COUNTIF(K26:K27,"✗")),"")</f>
        <v/>
      </c>
    </row>
    <row r="38" ht="22" customHeight="1">
      <c r="A38" s="27" t="inlineStr">
        <is>
          <t xml:space="preserve">  E · % Met  (weight 10%)</t>
        </is>
      </c>
      <c r="B38" s="76">
        <f>IFERROR((COUNTIF(B29:B30,"✓")+COUNTIF(B29:B30,"△")*0.5)/(COUNTIF(B29:B30,"✓")+COUNTIF(B29:B30,"△")+COUNTIF(B29:B30,"✗")),"")</f>
        <v/>
      </c>
      <c r="C38" s="76">
        <f>IFERROR((COUNTIF(C29:C30,"✓")+COUNTIF(C29:C30,"△")*0.5)/(COUNTIF(C29:C30,"✓")+COUNTIF(C29:C30,"△")+COUNTIF(C29:C30,"✗")),"")</f>
        <v/>
      </c>
      <c r="D38" s="76">
        <f>IFERROR((COUNTIF(D29:D30,"✓")+COUNTIF(D29:D30,"△")*0.5)/(COUNTIF(D29:D30,"✓")+COUNTIF(D29:D30,"△")+COUNTIF(D29:D30,"✗")),"")</f>
        <v/>
      </c>
      <c r="E38" s="76">
        <f>IFERROR((COUNTIF(E29:E30,"✓")+COUNTIF(E29:E30,"△")*0.5)/(COUNTIF(E29:E30,"✓")+COUNTIF(E29:E30,"△")+COUNTIF(E29:E30,"✗")),"")</f>
        <v/>
      </c>
      <c r="F38" s="76">
        <f>IFERROR((COUNTIF(F29:F30,"✓")+COUNTIF(F29:F30,"△")*0.5)/(COUNTIF(F29:F30,"✓")+COUNTIF(F29:F30,"△")+COUNTIF(F29:F30,"✗")),"")</f>
        <v/>
      </c>
      <c r="G38" s="76">
        <f>IFERROR((COUNTIF(G29:G30,"✓")+COUNTIF(G29:G30,"△")*0.5)/(COUNTIF(G29:G30,"✓")+COUNTIF(G29:G30,"△")+COUNTIF(G29:G30,"✗")),"")</f>
        <v/>
      </c>
      <c r="H38" s="76">
        <f>IFERROR((COUNTIF(H29:H30,"✓")+COUNTIF(H29:H30,"△")*0.5)/(COUNTIF(H29:H30,"✓")+COUNTIF(H29:H30,"△")+COUNTIF(H29:H30,"✗")),"")</f>
        <v/>
      </c>
      <c r="I38" s="76">
        <f>IFERROR((COUNTIF(I29:I30,"✓")+COUNTIF(I29:I30,"△")*0.5)/(COUNTIF(I29:I30,"✓")+COUNTIF(I29:I30,"△")+COUNTIF(I29:I30,"✗")),"")</f>
        <v/>
      </c>
      <c r="J38" s="76">
        <f>IFERROR((COUNTIF(J29:J30,"✓")+COUNTIF(J29:J30,"△")*0.5)/(COUNTIF(J29:J30,"✓")+COUNTIF(J29:J30,"△")+COUNTIF(J29:J30,"✗")),"")</f>
        <v/>
      </c>
      <c r="K38" s="76">
        <f>IFERROR((COUNTIF(K29:K30,"✓")+COUNTIF(K29:K30,"△")*0.5)/(COUNTIF(K29:K30,"✓")+COUNTIF(K29:K30,"△")+COUNTIF(K29:K30,"✗")),"")</f>
        <v/>
      </c>
    </row>
    <row r="40" ht="30" customHeight="1">
      <c r="A40" s="13" t="inlineStr">
        <is>
          <t>OVERALL COMPLIANCE %</t>
        </is>
      </c>
      <c r="B40" s="77">
        <f>IFERROR((IFERROR(B34,0)*IF(B34="",0,0.3)+IFERROR(B35,0)*IF(B35="",0,0.25)+IFERROR(B36,0)*IF(B36="",0,0.25)+IFERROR(B37,0)*IF(B37="",0,0.1)+IFERROR(B38,0)*IF(B38="",0,0.1))/(IF(B34="",0,0.3)+IF(B35="",0,0.25)+IF(B36="",0,0.25)+IF(B37="",0,0.1)+IF(B38="",0,0.1)),"")</f>
        <v/>
      </c>
      <c r="C40" s="77">
        <f>IFERROR((IFERROR(C34,0)*IF(C34="",0,0.3)+IFERROR(C35,0)*IF(C35="",0,0.25)+IFERROR(C36,0)*IF(C36="",0,0.25)+IFERROR(C37,0)*IF(C37="",0,0.1)+IFERROR(C38,0)*IF(C38="",0,0.1))/(IF(C34="",0,0.3)+IF(C35="",0,0.25)+IF(C36="",0,0.25)+IF(C37="",0,0.1)+IF(C38="",0,0.1)),"")</f>
        <v/>
      </c>
      <c r="D40" s="77">
        <f>IFERROR((IFERROR(D34,0)*IF(D34="",0,0.3)+IFERROR(D35,0)*IF(D35="",0,0.25)+IFERROR(D36,0)*IF(D36="",0,0.25)+IFERROR(D37,0)*IF(D37="",0,0.1)+IFERROR(D38,0)*IF(D38="",0,0.1))/(IF(D34="",0,0.3)+IF(D35="",0,0.25)+IF(D36="",0,0.25)+IF(D37="",0,0.1)+IF(D38="",0,0.1)),"")</f>
        <v/>
      </c>
      <c r="E40" s="77">
        <f>IFERROR((IFERROR(E34,0)*IF(E34="",0,0.3)+IFERROR(E35,0)*IF(E35="",0,0.25)+IFERROR(E36,0)*IF(E36="",0,0.25)+IFERROR(E37,0)*IF(E37="",0,0.1)+IFERROR(E38,0)*IF(E38="",0,0.1))/(IF(E34="",0,0.3)+IF(E35="",0,0.25)+IF(E36="",0,0.25)+IF(E37="",0,0.1)+IF(E38="",0,0.1)),"")</f>
        <v/>
      </c>
      <c r="F40" s="77">
        <f>IFERROR((IFERROR(F34,0)*IF(F34="",0,0.3)+IFERROR(F35,0)*IF(F35="",0,0.25)+IFERROR(F36,0)*IF(F36="",0,0.25)+IFERROR(F37,0)*IF(F37="",0,0.1)+IFERROR(F38,0)*IF(F38="",0,0.1))/(IF(F34="",0,0.3)+IF(F35="",0,0.25)+IF(F36="",0,0.25)+IF(F37="",0,0.1)+IF(F38="",0,0.1)),"")</f>
        <v/>
      </c>
      <c r="G40" s="77">
        <f>IFERROR((IFERROR(G34,0)*IF(G34="",0,0.3)+IFERROR(G35,0)*IF(G35="",0,0.25)+IFERROR(G36,0)*IF(G36="",0,0.25)+IFERROR(G37,0)*IF(G37="",0,0.1)+IFERROR(G38,0)*IF(G38="",0,0.1))/(IF(G34="",0,0.3)+IF(G35="",0,0.25)+IF(G36="",0,0.25)+IF(G37="",0,0.1)+IF(G38="",0,0.1)),"")</f>
        <v/>
      </c>
      <c r="H40" s="77">
        <f>IFERROR((IFERROR(H34,0)*IF(H34="",0,0.3)+IFERROR(H35,0)*IF(H35="",0,0.25)+IFERROR(H36,0)*IF(H36="",0,0.25)+IFERROR(H37,0)*IF(H37="",0,0.1)+IFERROR(H38,0)*IF(H38="",0,0.1))/(IF(H34="",0,0.3)+IF(H35="",0,0.25)+IF(H36="",0,0.25)+IF(H37="",0,0.1)+IF(H38="",0,0.1)),"")</f>
        <v/>
      </c>
      <c r="I40" s="77">
        <f>IFERROR((IFERROR(I34,0)*IF(I34="",0,0.3)+IFERROR(I35,0)*IF(I35="",0,0.25)+IFERROR(I36,0)*IF(I36="",0,0.25)+IFERROR(I37,0)*IF(I37="",0,0.1)+IFERROR(I38,0)*IF(I38="",0,0.1))/(IF(I34="",0,0.3)+IF(I35="",0,0.25)+IF(I36="",0,0.25)+IF(I37="",0,0.1)+IF(I38="",0,0.1)),"")</f>
        <v/>
      </c>
      <c r="J40" s="77">
        <f>IFERROR((IFERROR(J34,0)*IF(J34="",0,0.3)+IFERROR(J35,0)*IF(J35="",0,0.25)+IFERROR(J36,0)*IF(J36="",0,0.25)+IFERROR(J37,0)*IF(J37="",0,0.1)+IFERROR(J38,0)*IF(J38="",0,0.1))/(IF(J34="",0,0.3)+IF(J35="",0,0.25)+IF(J36="",0,0.25)+IF(J37="",0,0.1)+IF(J38="",0,0.1)),"")</f>
        <v/>
      </c>
      <c r="K40" s="77">
        <f>IFERROR((IFERROR(K34,0)*IF(K34="",0,0.3)+IFERROR(K35,0)*IF(K35="",0,0.25)+IFERROR(K36,0)*IF(K36="",0,0.25)+IFERROR(K37,0)*IF(K37="",0,0.1)+IFERROR(K38,0)*IF(K38="",0,0.1))/(IF(K34="",0,0.3)+IF(K35="",0,0.25)+IF(K36="",0,0.25)+IF(K37="",0,0.1)+IF(K38="",0,0.1)),"")</f>
        <v/>
      </c>
    </row>
    <row r="41" ht="24" customHeight="1">
      <c r="A41" s="40" t="inlineStr">
        <is>
          <t>RATING</t>
        </is>
      </c>
      <c r="B41" s="78">
        <f>IF(B40="","",IF(B40&gt;=0.95,"Excellent",IF(B40&gt;=0.9,"Meets",IF(B40&gt;=0.8,"Needs Impr","Corrective"))))</f>
        <v/>
      </c>
      <c r="C41" s="78">
        <f>IF(C40="","",IF(C40&gt;=0.95,"Excellent",IF(C40&gt;=0.9,"Meets",IF(C40&gt;=0.8,"Needs Impr","Corrective"))))</f>
        <v/>
      </c>
      <c r="D41" s="78">
        <f>IF(D40="","",IF(D40&gt;=0.95,"Excellent",IF(D40&gt;=0.9,"Meets",IF(D40&gt;=0.8,"Needs Impr","Corrective"))))</f>
        <v/>
      </c>
      <c r="E41" s="78">
        <f>IF(E40="","",IF(E40&gt;=0.95,"Excellent",IF(E40&gt;=0.9,"Meets",IF(E40&gt;=0.8,"Needs Impr","Corrective"))))</f>
        <v/>
      </c>
      <c r="F41" s="78">
        <f>IF(F40="","",IF(F40&gt;=0.95,"Excellent",IF(F40&gt;=0.9,"Meets",IF(F40&gt;=0.8,"Needs Impr","Corrective"))))</f>
        <v/>
      </c>
      <c r="G41" s="78">
        <f>IF(G40="","",IF(G40&gt;=0.95,"Excellent",IF(G40&gt;=0.9,"Meets",IF(G40&gt;=0.8,"Needs Impr","Corrective"))))</f>
        <v/>
      </c>
      <c r="H41" s="78">
        <f>IF(H40="","",IF(H40&gt;=0.95,"Excellent",IF(H40&gt;=0.9,"Meets",IF(H40&gt;=0.8,"Needs Impr","Corrective"))))</f>
        <v/>
      </c>
      <c r="I41" s="78">
        <f>IF(I40="","",IF(I40&gt;=0.95,"Excellent",IF(I40&gt;=0.9,"Meets",IF(I40&gt;=0.8,"Needs Impr","Corrective"))))</f>
        <v/>
      </c>
      <c r="J41" s="78">
        <f>IF(J40="","",IF(J40&gt;=0.95,"Excellent",IF(J40&gt;=0.9,"Meets",IF(J40&gt;=0.8,"Needs Impr","Corrective"))))</f>
        <v/>
      </c>
      <c r="K41" s="78">
        <f>IF(K40="","",IF(K40&gt;=0.95,"Excellent",IF(K40&gt;=0.9,"Meets",IF(K40&gt;=0.8,"Needs Impr","Corrective"))))</f>
        <v/>
      </c>
    </row>
    <row r="43" ht="6" customHeight="1"/>
    <row r="44" ht="26" customHeight="1">
      <c r="A44" s="13" t="inlineStr">
        <is>
          <t xml:space="preserve">  BATCH SUMMARY (this month)</t>
        </is>
      </c>
      <c r="B44" s="17" t="n"/>
      <c r="C44" s="17" t="n"/>
      <c r="D44" s="17" t="n"/>
      <c r="E44" s="17" t="n"/>
    </row>
    <row r="45" ht="22" customHeight="1">
      <c r="A45" s="3" t="inlineStr">
        <is>
          <t>Claims audited</t>
        </is>
      </c>
      <c r="D45" s="79">
        <f>COUNT(B40:K40)</f>
        <v/>
      </c>
      <c r="E45" s="14" t="n"/>
    </row>
    <row r="46" ht="22" customHeight="1">
      <c r="A46" s="3" t="inlineStr">
        <is>
          <t>Average compliance %</t>
        </is>
      </c>
      <c r="D46" s="80">
        <f>IFERROR(AVERAGE(B40:K40),"")</f>
        <v/>
      </c>
      <c r="E46" s="14" t="n"/>
    </row>
    <row r="47" ht="22" customHeight="1">
      <c r="A47" s="3" t="inlineStr">
        <is>
          <t>Charts scoring Meets+ (≥90%)</t>
        </is>
      </c>
      <c r="D47" s="79">
        <f>COUNTIF(B40:K40,"&gt;=0.9")</f>
        <v/>
      </c>
      <c r="E47" s="14" t="n"/>
    </row>
    <row r="48" ht="22" customHeight="1">
      <c r="A48" s="3" t="inlineStr">
        <is>
          <t>Charts needing Corrective (&lt;80%)</t>
        </is>
      </c>
      <c r="D48" s="79">
        <f>COUNTIFS(B40:K40,"&lt;0.8",B40:K40,"&gt;0")</f>
        <v/>
      </c>
      <c r="E48" s="14" t="n"/>
    </row>
  </sheetData>
  <mergeCells count="12">
    <mergeCell ref="A20:K20"/>
    <mergeCell ref="A45:C45"/>
    <mergeCell ref="A46:C46"/>
    <mergeCell ref="A47:C47"/>
    <mergeCell ref="A15:K15"/>
    <mergeCell ref="A25:K25"/>
    <mergeCell ref="A2:K2"/>
    <mergeCell ref="A10:K10"/>
    <mergeCell ref="A28:K28"/>
    <mergeCell ref="A44:E44"/>
    <mergeCell ref="A48:C48"/>
    <mergeCell ref="A1:K1"/>
  </mergeCells>
  <conditionalFormatting sqref="B11:B30">
    <cfRule type="expression" priority="1" dxfId="0">
      <formula>B11="✓"</formula>
    </cfRule>
    <cfRule type="expression" priority="2" dxfId="1">
      <formula>B11="△"</formula>
    </cfRule>
    <cfRule type="expression" priority="3" dxfId="2">
      <formula>B11="✗"</formula>
    </cfRule>
    <cfRule type="expression" priority="4" dxfId="3">
      <formula>B11="N/A"</formula>
    </cfRule>
  </conditionalFormatting>
  <conditionalFormatting sqref="C11:C30">
    <cfRule type="expression" priority="5" dxfId="0">
      <formula>C11="✓"</formula>
    </cfRule>
    <cfRule type="expression" priority="6" dxfId="1">
      <formula>C11="△"</formula>
    </cfRule>
    <cfRule type="expression" priority="7" dxfId="2">
      <formula>C11="✗"</formula>
    </cfRule>
    <cfRule type="expression" priority="8" dxfId="3">
      <formula>C11="N/A"</formula>
    </cfRule>
  </conditionalFormatting>
  <conditionalFormatting sqref="D11:D30">
    <cfRule type="expression" priority="9" dxfId="0">
      <formula>D11="✓"</formula>
    </cfRule>
    <cfRule type="expression" priority="10" dxfId="1">
      <formula>D11="△"</formula>
    </cfRule>
    <cfRule type="expression" priority="11" dxfId="2">
      <formula>D11="✗"</formula>
    </cfRule>
    <cfRule type="expression" priority="12" dxfId="3">
      <formula>D11="N/A"</formula>
    </cfRule>
  </conditionalFormatting>
  <conditionalFormatting sqref="E11:E30">
    <cfRule type="expression" priority="13" dxfId="0">
      <formula>E11="✓"</formula>
    </cfRule>
    <cfRule type="expression" priority="14" dxfId="1">
      <formula>E11="△"</formula>
    </cfRule>
    <cfRule type="expression" priority="15" dxfId="2">
      <formula>E11="✗"</formula>
    </cfRule>
    <cfRule type="expression" priority="16" dxfId="3">
      <formula>E11="N/A"</formula>
    </cfRule>
  </conditionalFormatting>
  <conditionalFormatting sqref="F11:F30">
    <cfRule type="expression" priority="17" dxfId="0">
      <formula>F11="✓"</formula>
    </cfRule>
    <cfRule type="expression" priority="18" dxfId="1">
      <formula>F11="△"</formula>
    </cfRule>
    <cfRule type="expression" priority="19" dxfId="2">
      <formula>F11="✗"</formula>
    </cfRule>
    <cfRule type="expression" priority="20" dxfId="3">
      <formula>F11="N/A"</formula>
    </cfRule>
  </conditionalFormatting>
  <conditionalFormatting sqref="G11:G30">
    <cfRule type="expression" priority="21" dxfId="0">
      <formula>G11="✓"</formula>
    </cfRule>
    <cfRule type="expression" priority="22" dxfId="1">
      <formula>G11="△"</formula>
    </cfRule>
    <cfRule type="expression" priority="23" dxfId="2">
      <formula>G11="✗"</formula>
    </cfRule>
    <cfRule type="expression" priority="24" dxfId="3">
      <formula>G11="N/A"</formula>
    </cfRule>
  </conditionalFormatting>
  <conditionalFormatting sqref="H11:H30">
    <cfRule type="expression" priority="25" dxfId="0">
      <formula>H11="✓"</formula>
    </cfRule>
    <cfRule type="expression" priority="26" dxfId="1">
      <formula>H11="△"</formula>
    </cfRule>
    <cfRule type="expression" priority="27" dxfId="2">
      <formula>H11="✗"</formula>
    </cfRule>
    <cfRule type="expression" priority="28" dxfId="3">
      <formula>H11="N/A"</formula>
    </cfRule>
  </conditionalFormatting>
  <conditionalFormatting sqref="I11:I30">
    <cfRule type="expression" priority="29" dxfId="0">
      <formula>I11="✓"</formula>
    </cfRule>
    <cfRule type="expression" priority="30" dxfId="1">
      <formula>I11="△"</formula>
    </cfRule>
    <cfRule type="expression" priority="31" dxfId="2">
      <formula>I11="✗"</formula>
    </cfRule>
    <cfRule type="expression" priority="32" dxfId="3">
      <formula>I11="N/A"</formula>
    </cfRule>
  </conditionalFormatting>
  <conditionalFormatting sqref="J11:J30">
    <cfRule type="expression" priority="33" dxfId="0">
      <formula>J11="✓"</formula>
    </cfRule>
    <cfRule type="expression" priority="34" dxfId="1">
      <formula>J11="△"</formula>
    </cfRule>
    <cfRule type="expression" priority="35" dxfId="2">
      <formula>J11="✗"</formula>
    </cfRule>
    <cfRule type="expression" priority="36" dxfId="3">
      <formula>J11="N/A"</formula>
    </cfRule>
  </conditionalFormatting>
  <conditionalFormatting sqref="K11:K30">
    <cfRule type="expression" priority="37" dxfId="0">
      <formula>K11="✓"</formula>
    </cfRule>
    <cfRule type="expression" priority="38" dxfId="1">
      <formula>K11="△"</formula>
    </cfRule>
    <cfRule type="expression" priority="39" dxfId="2">
      <formula>K11="✗"</formula>
    </cfRule>
    <cfRule type="expression" priority="40" dxfId="3">
      <formula>K11="N/A"</formula>
    </cfRule>
  </conditionalFormatting>
  <conditionalFormatting sqref="B34:K34">
    <cfRule type="cellIs" priority="41" operator="greaterThanOrEqual" dxfId="0">
      <formula>0.9</formula>
    </cfRule>
    <cfRule type="cellIs" priority="42" operator="between" dxfId="1">
      <formula>0.8</formula>
      <formula>0.8999</formula>
    </cfRule>
    <cfRule type="cellIs" priority="43" operator="between" dxfId="2">
      <formula>0.0001</formula>
      <formula>0.7999</formula>
    </cfRule>
  </conditionalFormatting>
  <conditionalFormatting sqref="B35:K35">
    <cfRule type="cellIs" priority="44" operator="greaterThanOrEqual" dxfId="0">
      <formula>0.9</formula>
    </cfRule>
    <cfRule type="cellIs" priority="45" operator="between" dxfId="1">
      <formula>0.8</formula>
      <formula>0.8999</formula>
    </cfRule>
    <cfRule type="cellIs" priority="46" operator="between" dxfId="2">
      <formula>0.0001</formula>
      <formula>0.7999</formula>
    </cfRule>
  </conditionalFormatting>
  <conditionalFormatting sqref="B36:K36">
    <cfRule type="cellIs" priority="47" operator="greaterThanOrEqual" dxfId="0">
      <formula>0.9</formula>
    </cfRule>
    <cfRule type="cellIs" priority="48" operator="between" dxfId="1">
      <formula>0.8</formula>
      <formula>0.8999</formula>
    </cfRule>
    <cfRule type="cellIs" priority="49" operator="between" dxfId="2">
      <formula>0.0001</formula>
      <formula>0.7999</formula>
    </cfRule>
  </conditionalFormatting>
  <conditionalFormatting sqref="B37:K37">
    <cfRule type="cellIs" priority="50" operator="greaterThanOrEqual" dxfId="0">
      <formula>0.9</formula>
    </cfRule>
    <cfRule type="cellIs" priority="51" operator="between" dxfId="1">
      <formula>0.8</formula>
      <formula>0.8999</formula>
    </cfRule>
    <cfRule type="cellIs" priority="52" operator="between" dxfId="2">
      <formula>0.0001</formula>
      <formula>0.7999</formula>
    </cfRule>
  </conditionalFormatting>
  <conditionalFormatting sqref="B38:K38">
    <cfRule type="cellIs" priority="53" operator="greaterThanOrEqual" dxfId="0">
      <formula>0.9</formula>
    </cfRule>
    <cfRule type="cellIs" priority="54" operator="between" dxfId="1">
      <formula>0.8</formula>
      <formula>0.8999</formula>
    </cfRule>
    <cfRule type="cellIs" priority="55" operator="between" dxfId="2">
      <formula>0.0001</formula>
      <formula>0.7999</formula>
    </cfRule>
  </conditionalFormatting>
  <conditionalFormatting sqref="B40:K40">
    <cfRule type="cellIs" priority="56" operator="greaterThanOrEqual" dxfId="3">
      <formula>0.95</formula>
    </cfRule>
    <cfRule type="cellIs" priority="57" operator="between" dxfId="0">
      <formula>0.9</formula>
      <formula>0.9499</formula>
    </cfRule>
    <cfRule type="cellIs" priority="58" operator="between" dxfId="1">
      <formula>0.8</formula>
      <formula>0.8999</formula>
    </cfRule>
    <cfRule type="cellIs" priority="59" operator="between" dxfId="2">
      <formula>0.0001</formula>
      <formula>0.7999</formula>
    </cfRule>
  </conditionalFormatting>
  <conditionalFormatting sqref="B41:K41">
    <cfRule type="expression" priority="60" dxfId="3">
      <formula>B41="Excellent"</formula>
    </cfRule>
    <cfRule type="expression" priority="61" dxfId="0">
      <formula>B41="Meets"</formula>
    </cfRule>
    <cfRule type="expression" priority="62" dxfId="1">
      <formula>B41="Needs Impr"</formula>
    </cfRule>
    <cfRule type="expression" priority="63" dxfId="2">
      <formula>B41="Corrective"</formula>
    </cfRule>
  </conditionalFormatting>
  <dataValidations count="3">
    <dataValidation sqref="B7:K7" showDropDown="0" showInputMessage="0" showErrorMessage="0" allowBlank="1" type="list">
      <formula1>"Diabetes,Chronic Kidney Disease,Annual Wellness Visit,High RAF Patient,Random Selection"</formula1>
    </dataValidation>
    <dataValidation sqref="B8:K8" showDropDown="0" showInputMessage="0" showErrorMessage="0" allowBlank="1" type="list">
      <formula1>"Medicare Advantage,Commercial,Medicaid,Dual"</formula1>
    </dataValidation>
    <dataValidation sqref="B11:K30" showDropDown="0" showInputMessage="0" showErrorMessage="0" allowBlank="1" type="list">
      <formula1>"✓,△,✗,N/A"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</row>
    <row r="7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</row>
    <row r="8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</row>
    <row r="9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</row>
    <row r="10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</row>
    <row r="1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</row>
    <row r="12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</row>
    <row r="13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2026-07-13T13:22:55Z</dcterms:modified>
</cp:coreProperties>
</file>