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Checklist" sheetId="1" state="visible" r:id="rId1"/>
    <sheet xmlns:r="http://schemas.openxmlformats.org/officeDocument/2006/relationships" name="Provider Metrics" sheetId="2" state="visible" r:id="rId2"/>
    <sheet xmlns:r="http://schemas.openxmlformats.org/officeDocument/2006/relationships" name="Claim 01" sheetId="3" state="visible" r:id="rId3"/>
    <sheet xmlns:r="http://schemas.openxmlformats.org/officeDocument/2006/relationships" name="Claim 02" sheetId="4" state="visible" r:id="rId4"/>
    <sheet xmlns:r="http://schemas.openxmlformats.org/officeDocument/2006/relationships" name="Claim 03" sheetId="5" state="visible" r:id="rId5"/>
    <sheet xmlns:r="http://schemas.openxmlformats.org/officeDocument/2006/relationships" name="Claim 04" sheetId="6" state="visible" r:id="rId6"/>
    <sheet xmlns:r="http://schemas.openxmlformats.org/officeDocument/2006/relationships" name="Claim 05" sheetId="7" state="visible" r:id="rId7"/>
    <sheet xmlns:r="http://schemas.openxmlformats.org/officeDocument/2006/relationships" name="Claim 06" sheetId="8" state="visible" r:id="rId8"/>
    <sheet xmlns:r="http://schemas.openxmlformats.org/officeDocument/2006/relationships" name="Claim 07" sheetId="9" state="visible" r:id="rId9"/>
    <sheet xmlns:r="http://schemas.openxmlformats.org/officeDocument/2006/relationships" name="Claim 08" sheetId="10" state="visible" r:id="rId10"/>
    <sheet xmlns:r="http://schemas.openxmlformats.org/officeDocument/2006/relationships" name="Claim 09" sheetId="11" state="visible" r:id="rId11"/>
    <sheet xmlns:r="http://schemas.openxmlformats.org/officeDocument/2006/relationships" name="Claim 10" sheetId="12" state="visible" r:id="rId12"/>
    <sheet xmlns:r="http://schemas.openxmlformats.org/officeDocument/2006/relationships" name="Audit Log" sheetId="13" state="visible" r:id="rId13"/>
    <sheet xmlns:r="http://schemas.openxmlformats.org/officeDocument/2006/relationships" name="Quick Reference" sheetId="14" state="visible" r:id="rId14"/>
    <sheet xmlns:r="http://schemas.openxmlformats.org/officeDocument/2006/relationships" name="Quarterly Repor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2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0F172A"/>
      <sz val="10"/>
    </font>
    <font>
      <name val="Calibri"/>
      <b val="1"/>
      <color rgb="000F172A"/>
      <sz val="11"/>
    </font>
    <font>
      <name val="Calibri"/>
      <color rgb="000F172A"/>
      <sz val="9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FFFFFF"/>
      <sz val="13"/>
    </font>
    <font>
      <b val="1"/>
      <color rgb="00FFFFFF"/>
      <sz val="16"/>
    </font>
    <font>
      <name val="Calibri"/>
      <b val="1"/>
      <color rgb="000F172A"/>
      <sz val="12"/>
    </font>
    <font>
      <b val="1"/>
      <color rgb="00FFFFFF"/>
      <sz val="12"/>
    </font>
    <font>
      <name val="Calibri"/>
      <b val="1"/>
      <color rgb="00FFFFFF"/>
      <sz val="22"/>
    </font>
    <font>
      <name val="Calibri"/>
      <i val="1"/>
      <color rgb="000F172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FFFFFF"/>
      <sz val="12"/>
    </font>
    <font>
      <name val="Calibri"/>
      <b val="1"/>
      <color rgb="000B5555"/>
      <sz val="11"/>
    </font>
    <font>
      <name val="Calibri"/>
      <b val="1"/>
      <color rgb="00FFFFFF"/>
      <sz val="14"/>
    </font>
    <font>
      <name val="Calibri"/>
      <b val="1"/>
      <color rgb="00FFFFFF"/>
      <sz val="20"/>
    </font>
    <font>
      <name val="Calibri"/>
      <b val="1"/>
      <color rgb="000F172A"/>
      <sz val="13"/>
    </font>
    <font>
      <name val="Calibri"/>
      <b val="1"/>
      <color rgb="000F172A"/>
      <sz val="9"/>
    </font>
    <font>
      <name val="Calibri"/>
      <b val="1"/>
      <color rgb="00FFFFFF"/>
      <sz val="10"/>
    </font>
    <font>
      <name val="Calibri"/>
      <b val="1"/>
      <color rgb="000F172A"/>
      <sz val="22"/>
    </font>
    <font>
      <name val="Calibri"/>
      <i val="1"/>
      <color rgb="000F172A"/>
      <sz val="10"/>
    </font>
    <font/>
    <font>
      <name val="Calibri"/>
      <b val="1"/>
      <color rgb="000B5555"/>
      <sz val="10"/>
    </font>
    <font>
      <b val="1"/>
      <color rgb="00FFFFFF"/>
      <sz val="14"/>
    </font>
    <font>
      <name val="Calibri"/>
      <b val="1"/>
      <color rgb="000F172A"/>
      <sz val="20"/>
    </font>
    <font>
      <name val="Calibri"/>
      <b val="1"/>
      <color rgb="000F172A"/>
      <sz val="14"/>
    </font>
  </fonts>
  <fills count="1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6F4F1"/>
      </patternFill>
    </fill>
    <fill>
      <patternFill patternType="solid">
        <fgColor rgb="00FFF9C4"/>
      </patternFill>
    </fill>
    <fill>
      <patternFill patternType="solid">
        <fgColor rgb="000F6E6E"/>
      </patternFill>
    </fill>
    <fill>
      <patternFill patternType="solid">
        <fgColor rgb="00D6EAF8"/>
      </patternFill>
    </fill>
    <fill>
      <patternFill patternType="solid">
        <fgColor rgb="00C7F0D2"/>
      </patternFill>
    </fill>
    <fill>
      <patternFill patternType="solid">
        <fgColor rgb="00FDE9C0"/>
      </patternFill>
    </fill>
    <fill>
      <patternFill patternType="solid">
        <fgColor rgb="00F8C9C9"/>
      </patternFill>
    </fill>
    <fill>
      <patternFill patternType="solid">
        <fgColor rgb="00F1F8F7"/>
      </patternFill>
    </fill>
    <fill>
      <patternFill patternType="solid">
        <fgColor rgb="000B5555"/>
      </patternFill>
    </fill>
    <fill>
      <patternFill patternType="solid">
        <fgColor rgb="00F5F7FA"/>
      </patternFill>
    </fill>
    <fill>
      <patternFill patternType="solid">
        <fgColor rgb="00FFF3D6"/>
      </patternFill>
    </fill>
    <fill>
      <patternFill patternType="solid">
        <fgColor rgb="00FEF3C7"/>
      </patternFill>
    </fill>
  </fills>
  <borders count="1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/>
    <border>
      <right/>
      <bottom/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wrapText="1" indent="1"/>
    </xf>
    <xf numFmtId="0" fontId="0" fillId="4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top" wrapText="1" indent="1"/>
    </xf>
    <xf numFmtId="0" fontId="5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164" fontId="6" fillId="0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164" fontId="8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indent="1"/>
    </xf>
    <xf numFmtId="0" fontId="12" fillId="3" borderId="0" applyAlignment="1" pivotButton="0" quotePrefix="0" xfId="0">
      <alignment horizontal="left" vertical="center" indent="1"/>
    </xf>
    <xf numFmtId="0" fontId="13" fillId="3" borderId="1" applyAlignment="1" pivotButton="0" quotePrefix="0" xfId="0">
      <alignment horizontal="left" vertical="center" wrapText="1" indent="1"/>
    </xf>
    <xf numFmtId="0" fontId="14" fillId="10" borderId="1" applyAlignment="1" pivotButton="0" quotePrefix="0" xfId="0">
      <alignment horizontal="left" vertical="top" wrapText="1" indent="1"/>
    </xf>
    <xf numFmtId="0" fontId="15" fillId="5" borderId="1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left" vertical="center" indent="1"/>
    </xf>
    <xf numFmtId="0" fontId="16" fillId="1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 indent="1"/>
    </xf>
    <xf numFmtId="0" fontId="1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left" vertical="center" wrapText="1" indent="1"/>
    </xf>
    <xf numFmtId="164" fontId="1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 indent="1"/>
    </xf>
    <xf numFmtId="0" fontId="19" fillId="4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indent="1"/>
    </xf>
    <xf numFmtId="0" fontId="0" fillId="5" borderId="1" pivotButton="0" quotePrefix="0" xfId="0"/>
    <xf numFmtId="0" fontId="22" fillId="12" borderId="1" applyAlignment="1" pivotButton="0" quotePrefix="0" xfId="0">
      <alignment horizontal="center" vertical="center" wrapText="1"/>
    </xf>
    <xf numFmtId="164" fontId="22" fillId="12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 indent="1"/>
    </xf>
    <xf numFmtId="0" fontId="15" fillId="5" borderId="0" applyAlignment="1" pivotButton="0" quotePrefix="0" xfId="0">
      <alignment horizontal="left" vertical="center" indent="1"/>
    </xf>
    <xf numFmtId="0" fontId="23" fillId="10" borderId="1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165" fontId="6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 indent="1"/>
    </xf>
    <xf numFmtId="0" fontId="6" fillId="13" borderId="1" applyAlignment="1" pivotButton="0" quotePrefix="0" xfId="0">
      <alignment horizontal="center" vertical="center" wrapText="1"/>
    </xf>
    <xf numFmtId="164" fontId="6" fillId="13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24" fillId="0" borderId="2" pivotButton="0" quotePrefix="0" xfId="0"/>
    <xf numFmtId="0" fontId="17" fillId="2" borderId="2" applyAlignment="1" pivotButton="0" quotePrefix="0" xfId="0">
      <alignment horizontal="left" vertical="center" indent="1"/>
    </xf>
    <xf numFmtId="0" fontId="23" fillId="3" borderId="2" applyAlignment="1" pivotButton="0" quotePrefix="0" xfId="0">
      <alignment horizontal="left" vertical="center" wrapText="1" indent="1"/>
    </xf>
    <xf numFmtId="0" fontId="25" fillId="1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 indent="1"/>
    </xf>
    <xf numFmtId="164" fontId="14" fillId="0" borderId="1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left" vertical="center" indent="1"/>
    </xf>
    <xf numFmtId="0" fontId="23" fillId="3" borderId="0" applyAlignment="1" pivotButton="0" quotePrefix="0" xfId="0">
      <alignment horizontal="left" vertical="center" indent="1"/>
    </xf>
    <xf numFmtId="0" fontId="1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15" fillId="11" borderId="0" applyAlignment="1" pivotButton="0" quotePrefix="0" xfId="0">
      <alignment horizontal="left" vertical="center" indent="1"/>
    </xf>
    <xf numFmtId="0" fontId="14" fillId="10" borderId="1" applyAlignment="1" pivotButton="0" quotePrefix="0" xfId="0">
      <alignment horizontal="left" vertical="center" wrapText="1" indent="1"/>
    </xf>
    <xf numFmtId="0" fontId="13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left" vertical="center" wrapText="1" indent="1"/>
    </xf>
    <xf numFmtId="164" fontId="13" fillId="0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indent="1"/>
    </xf>
    <xf numFmtId="0" fontId="23" fillId="14" borderId="0" applyAlignment="1" pivotButton="0" quotePrefix="0" xfId="0">
      <alignment horizontal="left" vertical="center" wrapText="1" indent="1"/>
    </xf>
    <xf numFmtId="0" fontId="21" fillId="5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26" fillId="2" borderId="2" applyAlignment="1" pivotButton="0" quotePrefix="0" xfId="0">
      <alignment horizontal="left" vertical="center" indent="1"/>
    </xf>
    <xf numFmtId="0" fontId="23" fillId="3" borderId="2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center" vertical="center" wrapText="1"/>
    </xf>
    <xf numFmtId="1" fontId="9" fillId="10" borderId="1" applyAlignment="1" pivotButton="0" quotePrefix="0" xfId="0">
      <alignment horizontal="center" vertical="center" wrapText="1"/>
    </xf>
    <xf numFmtId="164" fontId="9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 indent="1"/>
    </xf>
    <xf numFmtId="0" fontId="27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164" fontId="27" fillId="10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 wrapText="1" indent="1"/>
    </xf>
    <xf numFmtId="165" fontId="6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 indent="1"/>
    </xf>
    <xf numFmtId="0" fontId="0" fillId="6" borderId="1" pivotButton="0" quotePrefix="0" xfId="0"/>
    <xf numFmtId="0" fontId="3" fillId="7" borderId="1" applyAlignment="1" pivotButton="0" quotePrefix="0" xfId="0">
      <alignment horizontal="left" vertical="center" wrapText="1" indent="1"/>
    </xf>
    <xf numFmtId="0" fontId="0" fillId="7" borderId="1" pivotButton="0" quotePrefix="0" xfId="0"/>
    <xf numFmtId="0" fontId="3" fillId="8" borderId="1" applyAlignment="1" pivotButton="0" quotePrefix="0" xfId="0">
      <alignment horizontal="left" vertical="center" wrapText="1" indent="1"/>
    </xf>
    <xf numFmtId="0" fontId="0" fillId="8" borderId="1" pivotButton="0" quotePrefix="0" xfId="0"/>
    <xf numFmtId="0" fontId="3" fillId="9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0" fontId="0" fillId="0" borderId="7" pivotButton="0" quotePrefix="0" xfId="0"/>
    <xf numFmtId="0" fontId="0" fillId="0" borderId="14" pivotButton="0" quotePrefix="0" xfId="0"/>
    <xf numFmtId="165" fontId="6" fillId="4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4">
    <dxf>
      <fill>
        <patternFill patternType="solid">
          <fgColor rgb="00C7F0D2"/>
        </patternFill>
      </fill>
    </dxf>
    <dxf>
      <fill>
        <patternFill patternType="solid">
          <fgColor rgb="00FDE9C0"/>
        </patternFill>
      </fill>
    </dxf>
    <dxf>
      <fill>
        <patternFill patternType="solid">
          <fgColor rgb="00F8C9C9"/>
        </patternFill>
      </fill>
    </dxf>
    <dxf>
      <fill>
        <patternFill patternType="solid">
          <fgColor rgb="00D6EA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Provider Compliance % Progression</a:t>
            </a:r>
          </a:p>
        </rich>
      </tx>
    </title>
    <plotArea>
      <lineChart>
        <grouping val="standard"/>
        <ser>
          <idx val="0"/>
          <order val="0"/>
          <tx>
            <strRef>
              <f>'Quarterly Report'!B13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'Quarterly Report'!$C$12:$N$12</f>
            </numRef>
          </cat>
          <val>
            <numRef>
              <f>'Quarterly Report'!$C$13:$N$13</f>
            </numRef>
          </val>
        </ser>
        <ser>
          <idx val="1"/>
          <order val="1"/>
          <tx>
            <strRef>
              <f>'Quarterly Report'!B14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'Quarterly Report'!$C$12:$N$12</f>
            </numRef>
          </cat>
          <val>
            <numRef>
              <f>'Quarterly Report'!$C$14:$N$14</f>
            </numRef>
          </val>
        </ser>
        <ser>
          <idx val="2"/>
          <order val="2"/>
          <tx>
            <strRef>
              <f>'Quarterly Report'!B15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'Quarterly Report'!$C$12:$N$12</f>
            </numRef>
          </cat>
          <val>
            <numRef>
              <f>'Quarterly Report'!$C$15:$N$15</f>
            </numRef>
          </val>
        </ser>
        <ser>
          <idx val="3"/>
          <order val="3"/>
          <tx>
            <strRef>
              <f>'Quarterly Report'!B16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'Quarterly Report'!$C$12:$N$12</f>
            </numRef>
          </cat>
          <val>
            <numRef>
              <f>'Quarterly Report'!$C$16:$N$16</f>
            </numRef>
          </val>
        </ser>
        <ser>
          <idx val="4"/>
          <order val="4"/>
          <tx>
            <strRef>
              <f>'Quarterly Report'!B17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'Quarterly Report'!$C$12:$N$12</f>
            </numRef>
          </cat>
          <val>
            <numRef>
              <f>'Quarterly Report'!$C$17:$N$17</f>
            </numRef>
          </val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.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Compliance %</a:t>
                </a:r>
              </a:p>
            </rich>
          </tx>
        </title>
        <numFmt formatCode="0%" sourceLinked="0"/>
        <majorTickMark val="none"/>
        <minorTickMark val="none"/>
        <crossAx val="10"/>
        <majorUnit val="0.05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100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F6E6E"/>
    <outlinePr summaryBelow="1" summaryRight="1"/>
    <pageSetUpPr fitToPage="1"/>
  </sheetPr>
  <dimension ref="A1:I52"/>
  <sheetViews>
    <sheetView showGridLines="0" zoomScale="11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  <col width="10" customWidth="1" min="4" max="4"/>
    <col width="42" customWidth="1" min="5" max="5"/>
  </cols>
  <sheetData>
    <row r="1" ht="42" customHeight="1">
      <c r="A1" s="25" t="inlineStr">
        <is>
          <t>Clinical Documentation Audit</t>
        </is>
      </c>
    </row>
    <row r="2" ht="26" customHeight="1">
      <c r="A2" s="26" t="inlineStr">
        <is>
          <t>One chart per sheet · tick each item · scoring &amp; rating are automatic</t>
        </is>
      </c>
    </row>
    <row r="3" ht="8" customHeight="1"/>
    <row r="4" ht="28" customHeight="1">
      <c r="A4" s="27" t="inlineStr">
        <is>
          <t>Provider:</t>
        </is>
      </c>
      <c r="B4" s="4" t="n"/>
      <c r="C4" s="27" t="inlineStr">
        <is>
          <t>Date of Service:</t>
        </is>
      </c>
      <c r="D4" s="4" t="n"/>
      <c r="E4" s="28" t="inlineStr">
        <is>
          <t>How to audit a claim
1. Click a Claim 01–10 tab (bottom of the workbook)
2. Fill yellow header + ratings — auto-scores
3. Move to the next Claim tab · repeat
Global metrics roll up automatically
• Open the Provider Metrics tab — it pulls the 10 claim scores
  live from the Claim tabs so you see the running provider average.
Start a new provider (after 10 claims)
1. Ctrl+click Claim 01 through Claim 10 to group them
2. Select the yellow header + rating + note cells on any tab
3. Press Delete → all 10 tabs clear at once
4. Right-click any tab → Ungroup Sheets</t>
        </is>
      </c>
    </row>
    <row r="5" ht="26" customHeight="1">
      <c r="A5" s="27" t="inlineStr">
        <is>
          <t>Claim Number:</t>
        </is>
      </c>
      <c r="B5" s="110" t="n"/>
      <c r="C5" s="27" t="inlineStr">
        <is>
          <t>Auditor:</t>
        </is>
      </c>
      <c r="D5" s="4" t="n"/>
      <c r="E5" s="51" t="n"/>
    </row>
    <row r="6" ht="28" customHeight="1">
      <c r="A6" s="27" t="inlineStr">
        <is>
          <t>Category:</t>
        </is>
      </c>
      <c r="B6" s="4" t="n"/>
      <c r="C6" s="27" t="inlineStr">
        <is>
          <t>Payer:</t>
        </is>
      </c>
      <c r="D6" s="4" t="n"/>
      <c r="E6" s="52" t="n"/>
    </row>
    <row r="7" ht="26" customHeight="1">
      <c r="A7" s="27" t="inlineStr">
        <is>
          <t>Date of audit:</t>
        </is>
      </c>
      <c r="B7" s="109" t="n"/>
    </row>
    <row r="8" ht="32" customHeight="1">
      <c r="A8" s="29" t="inlineStr">
        <is>
          <t>§</t>
        </is>
      </c>
      <c r="B8" s="29" t="inlineStr">
        <is>
          <t>Documentation element</t>
        </is>
      </c>
      <c r="C8" s="29" t="inlineStr">
        <is>
          <t>Rating</t>
        </is>
      </c>
      <c r="D8" s="29" t="inlineStr">
        <is>
          <t>Pts</t>
        </is>
      </c>
      <c r="E8" s="29" t="inlineStr">
        <is>
          <t>Notes / evidence</t>
        </is>
      </c>
    </row>
    <row r="9" ht="30" customHeight="1">
      <c r="A9" s="30" t="inlineStr">
        <is>
          <t xml:space="preserve">  A · Diagnosis Accuracy   (4 items)</t>
        </is>
      </c>
    </row>
    <row r="10" ht="40" customHeight="1">
      <c r="A10" s="31" t="inlineStr">
        <is>
          <t>A1</t>
        </is>
      </c>
      <c r="B10" s="10" t="inlineStr">
        <is>
          <t>All reported diagnoses are clinically supported in the note</t>
        </is>
      </c>
      <c r="C10" s="32" t="n"/>
      <c r="D10" s="33">
        <f>IF(C10="✓ Met",1,IF(C10="△ Partial",0.5,IF(C10="✗ Not Met",0,IF(C10="N/A","",""))))</f>
        <v/>
      </c>
      <c r="E10" s="10" t="n"/>
    </row>
    <row r="11" ht="40" customHeight="1">
      <c r="A11" s="31" t="inlineStr">
        <is>
          <t>A2</t>
        </is>
      </c>
      <c r="B11" s="10" t="inlineStr">
        <is>
          <t>Chronic conditions actively addressed at this visit (not just carried forward)</t>
        </is>
      </c>
      <c r="C11" s="32" t="n"/>
      <c r="D11" s="33">
        <f>IF(C11="✓ Met",1,IF(C11="△ Partial",0.5,IF(C11="✗ Not Met",0,IF(C11="N/A","",""))))</f>
        <v/>
      </c>
      <c r="E11" s="10" t="n"/>
    </row>
    <row r="12" ht="40" customHeight="1">
      <c r="A12" s="31" t="inlineStr">
        <is>
          <t>A3</t>
        </is>
      </c>
      <c r="B12" s="10" t="inlineStr">
        <is>
          <t>No unsupported or resolved conditions billed as active</t>
        </is>
      </c>
      <c r="C12" s="32" t="n"/>
      <c r="D12" s="33">
        <f>IF(C12="✓ Met",1,IF(C12="△ Partial",0.5,IF(C12="✗ Not Met",0,IF(C12="N/A","",""))))</f>
        <v/>
      </c>
      <c r="E12" s="10" t="n"/>
    </row>
    <row r="13" ht="40" customHeight="1">
      <c r="A13" s="31" t="inlineStr">
        <is>
          <t>A4</t>
        </is>
      </c>
      <c r="B13" s="10" t="inlineStr">
        <is>
          <t>Problem list matches today's assessment &amp; plan</t>
        </is>
      </c>
      <c r="C13" s="32" t="n"/>
      <c r="D13" s="33">
        <f>IF(C13="✓ Met",1,IF(C13="△ Partial",0.5,IF(C13="✗ Not Met",0,IF(C13="N/A","",""))))</f>
        <v/>
      </c>
      <c r="E13" s="10" t="n"/>
    </row>
    <row r="14" ht="6" customHeight="1"/>
    <row r="15" ht="30" customHeight="1">
      <c r="A15" s="30" t="inlineStr">
        <is>
          <t xml:space="preserve">  B · Documentation Specificity   (4 items)</t>
        </is>
      </c>
    </row>
    <row r="16" ht="40" customHeight="1">
      <c r="A16" s="31" t="inlineStr">
        <is>
          <t>B1</t>
        </is>
      </c>
      <c r="B16" s="10" t="inlineStr">
        <is>
          <t>ICD-10 codes at highest available specificity (avoid 'unspecified')</t>
        </is>
      </c>
      <c r="C16" s="32" t="n"/>
      <c r="D16" s="33">
        <f>IF(C16="✓ Met",1,IF(C16="△ Partial",0.5,IF(C16="✗ Not Met",0,IF(C16="N/A","",""))))</f>
        <v/>
      </c>
      <c r="E16" s="10" t="n"/>
    </row>
    <row r="17" ht="40" customHeight="1">
      <c r="A17" s="31" t="inlineStr">
        <is>
          <t>B2</t>
        </is>
      </c>
      <c r="B17" s="10" t="inlineStr">
        <is>
          <t>Diabetes: type + complications + control specified</t>
        </is>
      </c>
      <c r="C17" s="32" t="n"/>
      <c r="D17" s="33">
        <f>IF(C17="✓ Met",1,IF(C17="△ Partial",0.5,IF(C17="✗ Not Met",0,IF(C17="N/A","",""))))</f>
        <v/>
      </c>
      <c r="E17" s="10" t="n"/>
    </row>
    <row r="18" ht="40" customHeight="1">
      <c r="A18" s="31" t="inlineStr">
        <is>
          <t>B3</t>
        </is>
      </c>
      <c r="B18" s="10" t="inlineStr">
        <is>
          <t>S / O / A / P sections tell one consistent clinical story</t>
        </is>
      </c>
      <c r="C18" s="32" t="n"/>
      <c r="D18" s="33">
        <f>IF(C18="✓ Met",1,IF(C18="△ Partial",0.5,IF(C18="✗ Not Met",0,IF(C18="N/A","",""))))</f>
        <v/>
      </c>
      <c r="E18" s="10" t="n"/>
    </row>
    <row r="19" ht="40" customHeight="1">
      <c r="A19" s="31" t="inlineStr">
        <is>
          <t>B4</t>
        </is>
      </c>
      <c r="B19" s="10" t="inlineStr">
        <is>
          <t>Note signed, dated, and closed by the rendering provider</t>
        </is>
      </c>
      <c r="C19" s="32" t="n"/>
      <c r="D19" s="33">
        <f>IF(C19="✓ Met",1,IF(C19="△ Partial",0.5,IF(C19="✗ Not Met",0,IF(C19="N/A","",""))))</f>
        <v/>
      </c>
      <c r="E19" s="10" t="n"/>
    </row>
    <row r="20" ht="6" customHeight="1"/>
    <row r="21" ht="30" customHeight="1">
      <c r="A21" s="30" t="inlineStr">
        <is>
          <t xml:space="preserve">  C · SOAP Note Structure   (4 items)</t>
        </is>
      </c>
    </row>
    <row r="22" ht="40" customHeight="1">
      <c r="A22" s="31" t="inlineStr">
        <is>
          <t>C1</t>
        </is>
      </c>
      <c r="B22" s="10" t="inlineStr">
        <is>
          <t>Subjective — patient's history, symptoms, and concerns clearly documented</t>
        </is>
      </c>
      <c r="C22" s="32" t="n"/>
      <c r="D22" s="33">
        <f>IF(C22="✓ Met",1,IF(C22="△ Partial",0.5,IF(C22="✗ Not Met",0,IF(C22="N/A","",""))))</f>
        <v/>
      </c>
      <c r="E22" s="10" t="n"/>
    </row>
    <row r="23" ht="40" customHeight="1">
      <c r="A23" s="31" t="inlineStr">
        <is>
          <t>C2</t>
        </is>
      </c>
      <c r="B23" s="10" t="inlineStr">
        <is>
          <t>Objective — exam findings, vitals, and relevant test results documented</t>
        </is>
      </c>
      <c r="C23" s="32" t="n"/>
      <c r="D23" s="33">
        <f>IF(C23="✓ Met",1,IF(C23="△ Partial",0.5,IF(C23="✗ Not Met",0,IF(C23="N/A","",""))))</f>
        <v/>
      </c>
      <c r="E23" s="10" t="n"/>
    </row>
    <row r="24" ht="40" customHeight="1">
      <c r="A24" s="31" t="inlineStr">
        <is>
          <t>C3</t>
        </is>
      </c>
      <c r="B24" s="10" t="inlineStr">
        <is>
          <t>Assessment — each diagnosis explicitly assessed with clinical reasoning</t>
        </is>
      </c>
      <c r="C24" s="32" t="n"/>
      <c r="D24" s="33">
        <f>IF(C24="✓ Met",1,IF(C24="△ Partial",0.5,IF(C24="✗ Not Met",0,IF(C24="N/A","",""))))</f>
        <v/>
      </c>
      <c r="E24" s="10" t="n"/>
    </row>
    <row r="25" ht="40" customHeight="1">
      <c r="A25" s="31" t="inlineStr">
        <is>
          <t>C4</t>
        </is>
      </c>
      <c r="B25" s="10" t="inlineStr">
        <is>
          <t>Plan — treatment plan documented (medication / referral / testing / follow-up)</t>
        </is>
      </c>
      <c r="C25" s="32" t="n"/>
      <c r="D25" s="33">
        <f>IF(C25="✓ Met",1,IF(C25="△ Partial",0.5,IF(C25="✗ Not Met",0,IF(C25="N/A","",""))))</f>
        <v/>
      </c>
      <c r="E25" s="10" t="n"/>
    </row>
    <row r="26" ht="6" customHeight="1"/>
    <row r="27" ht="30" customHeight="1">
      <c r="A27" s="30" t="inlineStr">
        <is>
          <t xml:space="preserve">  D · HCC Capture   (2 items)</t>
        </is>
      </c>
    </row>
    <row r="28" ht="40" customHeight="1">
      <c r="A28" s="31" t="inlineStr">
        <is>
          <t>D1</t>
        </is>
      </c>
      <c r="B28" s="10" t="inlineStr">
        <is>
          <t>Prior-year HCCs recaptured (or explicitly resolved with rationale)</t>
        </is>
      </c>
      <c r="C28" s="32" t="n"/>
      <c r="D28" s="33">
        <f>IF(C28="✓ Met",1,IF(C28="△ Partial",0.5,IF(C28="✗ Not Met",0,IF(C28="N/A","",""))))</f>
        <v/>
      </c>
      <c r="E28" s="10" t="n"/>
    </row>
    <row r="29" ht="40" customHeight="1">
      <c r="A29" s="31" t="inlineStr">
        <is>
          <t>D2</t>
        </is>
      </c>
      <c r="B29" s="10" t="inlineStr">
        <is>
          <t>Suspected undocumented chronic conditions captured with support</t>
        </is>
      </c>
      <c r="C29" s="32" t="n"/>
      <c r="D29" s="33">
        <f>IF(C29="✓ Met",1,IF(C29="△ Partial",0.5,IF(C29="✗ Not Met",0,IF(C29="N/A","",""))))</f>
        <v/>
      </c>
      <c r="E29" s="10" t="n"/>
    </row>
    <row r="30" ht="6" customHeight="1"/>
    <row r="31" ht="30" customHeight="1">
      <c r="A31" s="30" t="inlineStr">
        <is>
          <t xml:space="preserve">  E · Documentation Supporting Quality Measures   (2 items)</t>
        </is>
      </c>
    </row>
    <row r="32" ht="40" customHeight="1">
      <c r="A32" s="31" t="inlineStr">
        <is>
          <t>E1</t>
        </is>
      </c>
      <c r="B32" s="10" t="inlineStr">
        <is>
          <t>Screening / measure results documented with specific values (PHQ-9, GAD-7, BMI, BP, HbA1c) — not just 'screened' or 'normal'</t>
        </is>
      </c>
      <c r="C32" s="32" t="n"/>
      <c r="D32" s="33">
        <f>IF(C32="✓ Met",1,IF(C32="△ Partial",0.5,IF(C32="✗ Not Met",0,IF(C32="N/A","",""))))</f>
        <v/>
      </c>
      <c r="E32" s="10" t="n"/>
    </row>
    <row r="33" ht="40" customHeight="1">
      <c r="A33" s="31" t="inlineStr">
        <is>
          <t>E2</t>
        </is>
      </c>
      <c r="B33" s="10" t="inlineStr">
        <is>
          <t>Follow-up plan documented when a screening is positive or a result is abnormal (positive PHQ-9 → depression plan; elevated BMI → nutrition counseling)</t>
        </is>
      </c>
      <c r="C33" s="32" t="n"/>
      <c r="D33" s="33">
        <f>IF(C33="✓ Met",1,IF(C33="△ Partial",0.5,IF(C33="✗ Not Met",0,IF(C33="N/A","",""))))</f>
        <v/>
      </c>
      <c r="E33" s="10" t="n"/>
    </row>
    <row r="34" ht="6" customHeight="1"/>
    <row r="36" ht="30" customHeight="1">
      <c r="A36" s="34" t="inlineStr">
        <is>
          <t xml:space="preserve">  SUMMARY</t>
        </is>
      </c>
    </row>
    <row r="37" ht="24" customHeight="1">
      <c r="A37" s="6" t="inlineStr">
        <is>
          <t>§</t>
        </is>
      </c>
      <c r="B37" s="6" t="inlineStr">
        <is>
          <t>Category</t>
        </is>
      </c>
      <c r="C37" s="6" t="inlineStr">
        <is>
          <t>Applicable</t>
        </is>
      </c>
      <c r="D37" s="6" t="inlineStr">
        <is>
          <t>% Met</t>
        </is>
      </c>
      <c r="E37" s="6" t="inlineStr"/>
    </row>
    <row r="38" ht="24" customHeight="1">
      <c r="A38" s="35" t="inlineStr">
        <is>
          <t>A</t>
        </is>
      </c>
      <c r="B38" s="11" t="inlineStr">
        <is>
          <t>Diagnosis Accuracy</t>
        </is>
      </c>
      <c r="C38" s="36">
        <f>COUNTIF(C10:C13,"✓ Met")+COUNTIF(C10:C13,"△ Partial")+COUNTIF(C10:C13,"✗ Not Met")</f>
        <v/>
      </c>
      <c r="D38" s="37">
        <f>IFERROR(SUM(D10:D13)/C38,"")</f>
        <v/>
      </c>
      <c r="E38" s="14" t="inlineStr"/>
    </row>
    <row r="39" ht="24" customHeight="1">
      <c r="A39" s="35" t="inlineStr">
        <is>
          <t>B</t>
        </is>
      </c>
      <c r="B39" s="11" t="inlineStr">
        <is>
          <t>Documentation Specificity</t>
        </is>
      </c>
      <c r="C39" s="36">
        <f>COUNTIF(C16:C19,"✓ Met")+COUNTIF(C16:C19,"△ Partial")+COUNTIF(C16:C19,"✗ Not Met")</f>
        <v/>
      </c>
      <c r="D39" s="37">
        <f>IFERROR(SUM(D16:D19)/C39,"")</f>
        <v/>
      </c>
      <c r="E39" s="14" t="inlineStr"/>
    </row>
    <row r="40" ht="24" customHeight="1">
      <c r="A40" s="35" t="inlineStr">
        <is>
          <t>C</t>
        </is>
      </c>
      <c r="B40" s="11" t="inlineStr">
        <is>
          <t>SOAP Note Structure</t>
        </is>
      </c>
      <c r="C40" s="36">
        <f>COUNTIF(C22:C25,"✓ Met")+COUNTIF(C22:C25,"△ Partial")+COUNTIF(C22:C25,"✗ Not Met")</f>
        <v/>
      </c>
      <c r="D40" s="37">
        <f>IFERROR(SUM(D22:D25)/C40,"")</f>
        <v/>
      </c>
      <c r="E40" s="14" t="inlineStr"/>
    </row>
    <row r="41" ht="24" customHeight="1">
      <c r="A41" s="35" t="inlineStr">
        <is>
          <t>D</t>
        </is>
      </c>
      <c r="B41" s="11" t="inlineStr">
        <is>
          <t>HCC Capture</t>
        </is>
      </c>
      <c r="C41" s="36">
        <f>COUNTIF(C28:C29,"✓ Met")+COUNTIF(C28:C29,"△ Partial")+COUNTIF(C28:C29,"✗ Not Met")</f>
        <v/>
      </c>
      <c r="D41" s="37">
        <f>IFERROR(SUM(D28:D29)/C41,"")</f>
        <v/>
      </c>
      <c r="E41" s="14" t="inlineStr"/>
    </row>
    <row r="42" ht="24" customHeight="1">
      <c r="A42" s="35" t="inlineStr">
        <is>
          <t>E</t>
        </is>
      </c>
      <c r="B42" s="11" t="inlineStr">
        <is>
          <t>Documentation Supporting Quality Measures</t>
        </is>
      </c>
      <c r="C42" s="36">
        <f>COUNTIF(C32:C33,"✓ Met")+COUNTIF(C32:C33,"△ Partial")+COUNTIF(C32:C33,"✗ Not Met")</f>
        <v/>
      </c>
      <c r="D42" s="37">
        <f>IFERROR(SUM(D32:D33)/C42,"")</f>
        <v/>
      </c>
      <c r="E42" s="14" t="inlineStr"/>
    </row>
    <row r="44" ht="44" customHeight="1">
      <c r="A44" s="38" t="inlineStr">
        <is>
          <t xml:space="preserve">  OVERALL COMPLIANCE</t>
        </is>
      </c>
      <c r="D44" s="39">
        <f>IFERROR(SUMPRODUCT(D38:D42,C38:C42)/SUM(C38:C42),"")</f>
        <v/>
      </c>
      <c r="E44" s="17" t="n"/>
    </row>
    <row r="45" ht="32" customHeight="1">
      <c r="A45" s="40" t="inlineStr">
        <is>
          <t xml:space="preserve">  PERFORMANCE BAND</t>
        </is>
      </c>
      <c r="B45" s="53" t="n"/>
      <c r="C45" s="54" t="n"/>
      <c r="D45" s="18">
        <f>IF(D44="","",IF(D44&gt;=0.95,"Excellent",IF(D44&gt;=0.90,"Meets Expectations",IF(D44&gt;=0.80,"Needs Improvement","Corrective Education Required"))))</f>
        <v/>
      </c>
      <c r="E45" s="14" t="n"/>
    </row>
    <row r="46" ht="28" customHeight="1">
      <c r="A46" s="62" t="n"/>
      <c r="B46" s="62" t="n"/>
      <c r="C46" s="62" t="n"/>
      <c r="D46" s="62" t="n"/>
      <c r="E46" s="62" t="n"/>
      <c r="F46" s="62" t="n"/>
      <c r="G46" s="62" t="n"/>
      <c r="H46" s="62" t="n"/>
      <c r="I46" s="62" t="n"/>
    </row>
    <row r="47" ht="30" customHeight="1">
      <c r="A47" s="62" t="n"/>
      <c r="B47" s="62" t="n"/>
      <c r="C47" s="62" t="n"/>
      <c r="D47" s="62" t="n"/>
      <c r="E47" s="62" t="n"/>
      <c r="F47" s="62" t="n"/>
      <c r="G47" s="62" t="n"/>
      <c r="H47" s="62" t="n"/>
      <c r="I47" s="62" t="n"/>
    </row>
    <row r="48">
      <c r="A48" s="62" t="n"/>
      <c r="B48" s="62" t="n"/>
      <c r="C48" s="62" t="n"/>
      <c r="D48" s="62" t="n"/>
      <c r="E48" s="62" t="n"/>
      <c r="F48" s="62" t="n"/>
      <c r="G48" s="62" t="n"/>
      <c r="H48" s="62" t="n"/>
      <c r="I48" s="62" t="n"/>
    </row>
    <row r="49" ht="26" customHeight="1">
      <c r="A49" s="62" t="n"/>
      <c r="B49" s="62" t="n"/>
      <c r="C49" s="62" t="n"/>
      <c r="D49" s="62" t="n"/>
      <c r="E49" s="62" t="n"/>
      <c r="F49" s="62" t="n"/>
      <c r="G49" s="62" t="n"/>
      <c r="H49" s="62" t="n"/>
      <c r="I49" s="62" t="n"/>
    </row>
    <row r="50">
      <c r="A50" s="62" t="n"/>
      <c r="B50" s="62" t="n"/>
      <c r="C50" s="62" t="n"/>
      <c r="D50" s="62" t="n"/>
      <c r="E50" s="62" t="n"/>
      <c r="F50" s="62" t="n"/>
      <c r="G50" s="62" t="n"/>
      <c r="H50" s="62" t="n"/>
      <c r="I50" s="62" t="n"/>
    </row>
    <row r="51" ht="28" customHeight="1">
      <c r="A51" s="62" t="n"/>
      <c r="B51" s="62" t="n"/>
      <c r="C51" s="62" t="n"/>
      <c r="D51" s="62" t="n"/>
      <c r="E51" s="62" t="n"/>
      <c r="F51" s="62" t="n"/>
      <c r="G51" s="62" t="n"/>
      <c r="H51" s="62" t="n"/>
      <c r="I51" s="62" t="n"/>
    </row>
    <row r="52" ht="30" customHeight="1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</row>
  </sheetData>
  <mergeCells count="11">
    <mergeCell ref="A21:E21"/>
    <mergeCell ref="A44:C44"/>
    <mergeCell ref="A2:E2"/>
    <mergeCell ref="A45:C45"/>
    <mergeCell ref="A15:E15"/>
    <mergeCell ref="E4:E6"/>
    <mergeCell ref="A1:E1"/>
    <mergeCell ref="A36:E36"/>
    <mergeCell ref="A31:E31"/>
    <mergeCell ref="A9:E9"/>
    <mergeCell ref="A27:E27"/>
  </mergeCells>
  <conditionalFormatting sqref="C10:C34">
    <cfRule type="expression" priority="1" dxfId="0">
      <formula>C10="✓ Met"</formula>
    </cfRule>
    <cfRule type="expression" priority="2" dxfId="1">
      <formula>C10="△ Partial"</formula>
    </cfRule>
    <cfRule type="expression" priority="3" dxfId="2">
      <formula>C10="✗ Not Met"</formula>
    </cfRule>
    <cfRule type="expression" priority="4" dxfId="3">
      <formula>C10="N/A"</formula>
    </cfRule>
  </conditionalFormatting>
  <conditionalFormatting sqref="D38">
    <cfRule type="cellIs" priority="5" operator="greaterThanOrEqual" dxfId="0">
      <formula>0.9</formula>
    </cfRule>
    <cfRule type="cellIs" priority="6" operator="between" dxfId="1">
      <formula>0.8</formula>
      <formula>0.8999</formula>
    </cfRule>
    <cfRule type="cellIs" priority="7" operator="lessThan" dxfId="2">
      <formula>0.8</formula>
    </cfRule>
  </conditionalFormatting>
  <conditionalFormatting sqref="D39">
    <cfRule type="cellIs" priority="8" operator="greaterThanOrEqual" dxfId="0">
      <formula>0.9</formula>
    </cfRule>
    <cfRule type="cellIs" priority="9" operator="between" dxfId="1">
      <formula>0.8</formula>
      <formula>0.8999</formula>
    </cfRule>
    <cfRule type="cellIs" priority="10" operator="lessThan" dxfId="2">
      <formula>0.8</formula>
    </cfRule>
  </conditionalFormatting>
  <conditionalFormatting sqref="D40">
    <cfRule type="cellIs" priority="11" operator="greaterThanOrEqual" dxfId="0">
      <formula>0.9</formula>
    </cfRule>
    <cfRule type="cellIs" priority="12" operator="between" dxfId="1">
      <formula>0.8</formula>
      <formula>0.8999</formula>
    </cfRule>
    <cfRule type="cellIs" priority="13" operator="lessThan" dxfId="2">
      <formula>0.8</formula>
    </cfRule>
  </conditionalFormatting>
  <conditionalFormatting sqref="D41">
    <cfRule type="cellIs" priority="14" operator="greaterThanOrEqual" dxfId="0">
      <formula>0.9</formula>
    </cfRule>
    <cfRule type="cellIs" priority="15" operator="between" dxfId="1">
      <formula>0.8</formula>
      <formula>0.8999</formula>
    </cfRule>
    <cfRule type="cellIs" priority="16" operator="lessThan" dxfId="2">
      <formula>0.8</formula>
    </cfRule>
  </conditionalFormatting>
  <conditionalFormatting sqref="D42">
    <cfRule type="cellIs" priority="17" operator="greaterThanOrEqual" dxfId="0">
      <formula>0.9</formula>
    </cfRule>
    <cfRule type="cellIs" priority="18" operator="between" dxfId="1">
      <formula>0.8</formula>
      <formula>0.8999</formula>
    </cfRule>
    <cfRule type="cellIs" priority="19" operator="lessThan" dxfId="2">
      <formula>0.8</formula>
    </cfRule>
  </conditionalFormatting>
  <conditionalFormatting sqref="D44">
    <cfRule type="cellIs" priority="20" operator="greaterThanOrEqual" dxfId="3">
      <formula>0.95</formula>
    </cfRule>
    <cfRule type="cellIs" priority="21" operator="between" dxfId="0">
      <formula>0.9</formula>
      <formula>0.9499</formula>
    </cfRule>
    <cfRule type="cellIs" priority="22" operator="between" dxfId="1">
      <formula>0.8</formula>
      <formula>0.8999</formula>
    </cfRule>
    <cfRule type="cellIs" priority="23" operator="lessThan" dxfId="2">
      <formula>0.8</formula>
    </cfRule>
  </conditionalFormatting>
  <conditionalFormatting sqref="D45">
    <cfRule type="expression" priority="24" dxfId="3">
      <formula>D45="Excellent"</formula>
    </cfRule>
    <cfRule type="expression" priority="25" dxfId="0">
      <formula>D45="Meets Expectations"</formula>
    </cfRule>
    <cfRule type="expression" priority="26" dxfId="1">
      <formula>D45="Needs Improvement"</formula>
    </cfRule>
    <cfRule type="expression" priority="27" dxfId="2">
      <formula>D45="Corrective Education Required"</formula>
    </cfRule>
  </conditionalFormatting>
  <dataValidations count="3">
    <dataValidation sqref="B6" showDropDown="0" showInputMessage="0" showErrorMessage="0" allowBlank="1" type="list">
      <formula1>"Diabetes,Chronic Kidney Disease,Annual Wellness Visit,High RAF Patient,Random Selection"</formula1>
    </dataValidation>
    <dataValidation sqref="D6" showDropDown="0" showInputMessage="0" showErrorMessage="0" allowBlank="1" type="list">
      <formula1>"Medicare Advantage,Commercial,Medicaid,Dual"</formula1>
    </dataValidation>
    <dataValidation sqref="C10:C34" showDropDown="0" showInputMessage="0" showErrorMessage="0" allowBlank="1" type="list">
      <formula1>"✓ Met,△ Partial,✗ Not Met,N/A"</formula1>
    </dataValidation>
  </dataValidations>
  <printOptions horizontalCentered="1"/>
  <pageMargins left="0.3" right="0.3" top="0.4" bottom="0.4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4" customWidth="1" min="5" max="5"/>
    <col width="22" customWidth="1" min="6" max="6"/>
  </cols>
  <sheetData>
    <row r="1" ht="40" customHeight="1">
      <c r="A1" s="68" t="inlineStr">
        <is>
          <t>Provider Metrics — Rollup Across the 10 Claim Tabs</t>
        </is>
      </c>
    </row>
    <row r="2" ht="26" customHeight="1">
      <c r="A2" s="69" t="inlineStr">
        <is>
          <t>Live rollup of the current provider's 10 claims. As you fill each Claim tab, this tab shows the running provider average, distribution across bands, and overall Performance Band.</t>
        </is>
      </c>
    </row>
    <row r="3" ht="8" customHeight="1"/>
    <row r="4" ht="30" customHeight="1">
      <c r="B4" s="3" t="inlineStr">
        <is>
          <t>Provider (from Claim 01)</t>
        </is>
      </c>
      <c r="C4" s="54" t="n"/>
      <c r="D4" s="88">
        <f>'Claim 01'!B4</f>
        <v/>
      </c>
      <c r="E4" s="53" t="n"/>
      <c r="F4" s="54" t="n"/>
    </row>
    <row r="6" ht="24" customHeight="1">
      <c r="A6" s="92" t="inlineStr">
        <is>
          <t>Claims completed</t>
        </is>
      </c>
      <c r="B6" s="53" t="n"/>
      <c r="C6" s="54" t="n"/>
      <c r="D6" s="92" t="inlineStr">
        <is>
          <t>Average compliance %</t>
        </is>
      </c>
      <c r="E6" s="53" t="n"/>
      <c r="F6" s="54" t="n"/>
    </row>
    <row r="7" ht="34" customHeight="1">
      <c r="A7" s="93">
        <f>COUNT('Claim 01:Claim 10'!D44)</f>
        <v/>
      </c>
      <c r="B7" s="107" t="n"/>
      <c r="C7" s="59" t="n"/>
      <c r="D7" s="95">
        <f>IFERROR(AVERAGE('Claim 01:Claim 10'!D44),"")</f>
        <v/>
      </c>
      <c r="E7" s="107" t="n"/>
      <c r="F7" s="59" t="n"/>
    </row>
    <row r="8" ht="34" customHeight="1">
      <c r="A8" s="60" t="n"/>
      <c r="B8" s="108" t="n"/>
      <c r="C8" s="61" t="n"/>
      <c r="D8" s="60" t="n"/>
      <c r="E8" s="108" t="n"/>
      <c r="F8" s="61" t="n"/>
    </row>
    <row r="10" ht="24" customHeight="1">
      <c r="A10" s="92" t="inlineStr">
        <is>
          <t>Meeting Expectations (≥90%)</t>
        </is>
      </c>
      <c r="B10" s="53" t="n"/>
      <c r="C10" s="54" t="n"/>
      <c r="D10" s="92" t="inlineStr">
        <is>
          <t>Corrective Required (&lt;80%)</t>
        </is>
      </c>
      <c r="E10" s="53" t="n"/>
      <c r="F10" s="54" t="n"/>
    </row>
    <row r="11" ht="34" customHeight="1">
      <c r="A11" s="93">
        <f>COUNTIFS(E17:E26,"&gt;=0.9",E17:E26,"&lt;&gt;")</f>
        <v/>
      </c>
      <c r="B11" s="107" t="n"/>
      <c r="C11" s="59" t="n"/>
      <c r="D11" s="93">
        <f>COUNTIFS(E17:E26,"&lt;0.8",E17:E26,"&gt;0")</f>
        <v/>
      </c>
      <c r="E11" s="107" t="n"/>
      <c r="F11" s="59" t="n"/>
    </row>
    <row r="12" ht="34" customHeight="1">
      <c r="A12" s="60" t="n"/>
      <c r="B12" s="108" t="n"/>
      <c r="C12" s="61" t="n"/>
      <c r="D12" s="60" t="n"/>
      <c r="E12" s="108" t="n"/>
      <c r="F12" s="61" t="n"/>
    </row>
    <row r="14" ht="12" customHeight="1"/>
    <row r="15" ht="26" customHeight="1">
      <c r="A15" s="96" t="inlineStr">
        <is>
          <t xml:space="preserve">  Per-Claim Breakdown</t>
        </is>
      </c>
    </row>
    <row r="16" ht="24" customHeight="1">
      <c r="A16" s="6" t="inlineStr">
        <is>
          <t>#</t>
        </is>
      </c>
      <c r="B16" s="6" t="inlineStr">
        <is>
          <t>Provider</t>
        </is>
      </c>
      <c r="C16" s="6" t="inlineStr">
        <is>
          <t>Claim #</t>
        </is>
      </c>
      <c r="D16" s="6" t="inlineStr">
        <is>
          <t>DOS</t>
        </is>
      </c>
      <c r="E16" s="6" t="inlineStr">
        <is>
          <t>Compliance %</t>
        </is>
      </c>
      <c r="F16" s="6" t="inlineStr">
        <is>
          <t>Rating</t>
        </is>
      </c>
    </row>
    <row r="17" ht="22" customHeight="1">
      <c r="A17" s="9" t="n">
        <v>1</v>
      </c>
      <c r="B17" s="10">
        <f>'Claim 01'!B4</f>
        <v/>
      </c>
      <c r="C17" s="9">
        <f>'Claim 01'!B5</f>
        <v/>
      </c>
      <c r="D17" s="97">
        <f>'Claim 01'!D4</f>
        <v/>
      </c>
      <c r="E17" s="12">
        <f>IFERROR('Claim 01'!D44,"")</f>
        <v/>
      </c>
      <c r="F17" s="9">
        <f>IFERROR('Claim 01'!D45,"")</f>
        <v/>
      </c>
    </row>
    <row r="18" ht="22" customHeight="1">
      <c r="A18" s="9" t="n">
        <v>2</v>
      </c>
      <c r="B18" s="10">
        <f>'Claim 02'!B4</f>
        <v/>
      </c>
      <c r="C18" s="9">
        <f>'Claim 02'!B5</f>
        <v/>
      </c>
      <c r="D18" s="97">
        <f>'Claim 02'!D4</f>
        <v/>
      </c>
      <c r="E18" s="12">
        <f>IFERROR('Claim 02'!D44,"")</f>
        <v/>
      </c>
      <c r="F18" s="9">
        <f>IFERROR('Claim 02'!D45,"")</f>
        <v/>
      </c>
    </row>
    <row r="19" ht="22" customHeight="1">
      <c r="A19" s="9" t="n">
        <v>3</v>
      </c>
      <c r="B19" s="10">
        <f>'Claim 03'!B4</f>
        <v/>
      </c>
      <c r="C19" s="9">
        <f>'Claim 03'!B5</f>
        <v/>
      </c>
      <c r="D19" s="97">
        <f>'Claim 03'!D4</f>
        <v/>
      </c>
      <c r="E19" s="12">
        <f>IFERROR('Claim 03'!D44,"")</f>
        <v/>
      </c>
      <c r="F19" s="9">
        <f>IFERROR('Claim 03'!D45,"")</f>
        <v/>
      </c>
    </row>
    <row r="20" ht="22" customHeight="1">
      <c r="A20" s="9" t="n">
        <v>4</v>
      </c>
      <c r="B20" s="10">
        <f>'Claim 04'!B4</f>
        <v/>
      </c>
      <c r="C20" s="9">
        <f>'Claim 04'!B5</f>
        <v/>
      </c>
      <c r="D20" s="97">
        <f>'Claim 04'!D4</f>
        <v/>
      </c>
      <c r="E20" s="12">
        <f>IFERROR('Claim 04'!D44,"")</f>
        <v/>
      </c>
      <c r="F20" s="9">
        <f>IFERROR('Claim 04'!D45,"")</f>
        <v/>
      </c>
    </row>
    <row r="21" ht="22" customHeight="1">
      <c r="A21" s="9" t="n">
        <v>5</v>
      </c>
      <c r="B21" s="10">
        <f>'Claim 05'!B4</f>
        <v/>
      </c>
      <c r="C21" s="9">
        <f>'Claim 05'!B5</f>
        <v/>
      </c>
      <c r="D21" s="97">
        <f>'Claim 05'!D4</f>
        <v/>
      </c>
      <c r="E21" s="12">
        <f>IFERROR('Claim 05'!D44,"")</f>
        <v/>
      </c>
      <c r="F21" s="9">
        <f>IFERROR('Claim 05'!D45,"")</f>
        <v/>
      </c>
    </row>
    <row r="22" ht="22" customHeight="1">
      <c r="A22" s="9" t="n">
        <v>6</v>
      </c>
      <c r="B22" s="10">
        <f>'Claim 06'!B4</f>
        <v/>
      </c>
      <c r="C22" s="9">
        <f>'Claim 06'!B5</f>
        <v/>
      </c>
      <c r="D22" s="97">
        <f>'Claim 06'!D4</f>
        <v/>
      </c>
      <c r="E22" s="12">
        <f>IFERROR('Claim 06'!D44,"")</f>
        <v/>
      </c>
      <c r="F22" s="9">
        <f>IFERROR('Claim 06'!D45,"")</f>
        <v/>
      </c>
    </row>
    <row r="23" ht="22" customHeight="1">
      <c r="A23" s="9" t="n">
        <v>7</v>
      </c>
      <c r="B23" s="10">
        <f>'Claim 07'!B4</f>
        <v/>
      </c>
      <c r="C23" s="9">
        <f>'Claim 07'!B5</f>
        <v/>
      </c>
      <c r="D23" s="97">
        <f>'Claim 07'!D4</f>
        <v/>
      </c>
      <c r="E23" s="12">
        <f>IFERROR('Claim 07'!D44,"")</f>
        <v/>
      </c>
      <c r="F23" s="9">
        <f>IFERROR('Claim 07'!D45,"")</f>
        <v/>
      </c>
    </row>
    <row r="24" ht="22" customHeight="1">
      <c r="A24" s="9" t="n">
        <v>8</v>
      </c>
      <c r="B24" s="10">
        <f>'Claim 08'!B4</f>
        <v/>
      </c>
      <c r="C24" s="9">
        <f>'Claim 08'!B5</f>
        <v/>
      </c>
      <c r="D24" s="97">
        <f>'Claim 08'!D4</f>
        <v/>
      </c>
      <c r="E24" s="12">
        <f>IFERROR('Claim 08'!D44,"")</f>
        <v/>
      </c>
      <c r="F24" s="9">
        <f>IFERROR('Claim 08'!D45,"")</f>
        <v/>
      </c>
    </row>
    <row r="25" ht="22" customHeight="1">
      <c r="A25" s="9" t="n">
        <v>9</v>
      </c>
      <c r="B25" s="10">
        <f>'Claim 09'!B4</f>
        <v/>
      </c>
      <c r="C25" s="9">
        <f>'Claim 09'!B5</f>
        <v/>
      </c>
      <c r="D25" s="97">
        <f>'Claim 09'!D4</f>
        <v/>
      </c>
      <c r="E25" s="12">
        <f>IFERROR('Claim 09'!D44,"")</f>
        <v/>
      </c>
      <c r="F25" s="9">
        <f>IFERROR('Claim 09'!D45,"")</f>
        <v/>
      </c>
    </row>
    <row r="26" ht="22" customHeight="1">
      <c r="A26" s="9" t="n">
        <v>10</v>
      </c>
      <c r="B26" s="10">
        <f>'Claim 10'!B4</f>
        <v/>
      </c>
      <c r="C26" s="9">
        <f>'Claim 10'!B5</f>
        <v/>
      </c>
      <c r="D26" s="97">
        <f>'Claim 10'!D4</f>
        <v/>
      </c>
      <c r="E26" s="12">
        <f>IFERROR('Claim 10'!D44,"")</f>
        <v/>
      </c>
      <c r="F26" s="9">
        <f>IFERROR('Claim 10'!D45,"")</f>
        <v/>
      </c>
    </row>
    <row r="28" ht="36" customHeight="1">
      <c r="A28" s="13" t="inlineStr">
        <is>
          <t xml:space="preserve">  OVERALL PROVIDER PERFORMANCE BAND</t>
        </is>
      </c>
      <c r="B28" s="53" t="n"/>
      <c r="C28" s="53" t="n"/>
      <c r="D28" s="54" t="n"/>
      <c r="E28" s="98">
        <f>IF(D7="","",IF(D7&gt;=0.95,"Excellent",IF(D7&gt;=0.9,"Meets Expectations",IF(D7&gt;=0.8,"Needs Improvement","Corrective Education Required"))))</f>
        <v/>
      </c>
      <c r="F28" s="54" t="n"/>
    </row>
    <row r="30" ht="26" customHeight="1">
      <c r="A30" s="96" t="inlineStr">
        <is>
          <t xml:space="preserve">  Band Distribution (10 claims)</t>
        </is>
      </c>
    </row>
    <row r="31" ht="22" customHeight="1">
      <c r="A31" s="71" t="inlineStr">
        <is>
          <t>Band</t>
        </is>
      </c>
      <c r="B31" s="53" t="n"/>
      <c r="C31" s="53" t="n"/>
      <c r="D31" s="53" t="n"/>
      <c r="E31" s="54" t="n"/>
      <c r="F31" s="6" t="inlineStr">
        <is>
          <t>Count</t>
        </is>
      </c>
    </row>
    <row r="32" ht="24" customHeight="1">
      <c r="A32" s="99" t="inlineStr">
        <is>
          <t>Excellent</t>
        </is>
      </c>
      <c r="B32" s="53" t="n"/>
      <c r="C32" s="53" t="n"/>
      <c r="D32" s="53" t="n"/>
      <c r="E32" s="54" t="n"/>
      <c r="F32" s="18">
        <f>COUNTIF(F17:F26,"Excellent")</f>
        <v/>
      </c>
    </row>
    <row r="33" ht="24" customHeight="1">
      <c r="A33" s="101" t="inlineStr">
        <is>
          <t>Meets Expectations</t>
        </is>
      </c>
      <c r="B33" s="53" t="n"/>
      <c r="C33" s="53" t="n"/>
      <c r="D33" s="53" t="n"/>
      <c r="E33" s="54" t="n"/>
      <c r="F33" s="18">
        <f>COUNTIF(F17:F26,"Meets Expectations")</f>
        <v/>
      </c>
    </row>
    <row r="34" ht="24" customHeight="1">
      <c r="A34" s="103" t="inlineStr">
        <is>
          <t>Needs Improvement</t>
        </is>
      </c>
      <c r="B34" s="53" t="n"/>
      <c r="C34" s="53" t="n"/>
      <c r="D34" s="53" t="n"/>
      <c r="E34" s="54" t="n"/>
      <c r="F34" s="18">
        <f>COUNTIF(F17:F26,"Needs Improvement")</f>
        <v/>
      </c>
    </row>
    <row r="35" ht="24" customHeight="1">
      <c r="A35" s="105" t="inlineStr">
        <is>
          <t>Corrective Education Required</t>
        </is>
      </c>
      <c r="B35" s="53" t="n"/>
      <c r="C35" s="53" t="n"/>
      <c r="D35" s="53" t="n"/>
      <c r="E35" s="54" t="n"/>
      <c r="F35" s="18">
        <f>COUNTIF(F17:F26,"Corrective Education Required")</f>
        <v/>
      </c>
    </row>
  </sheetData>
  <mergeCells count="21">
    <mergeCell ref="A34:E34"/>
    <mergeCell ref="A28:D28"/>
    <mergeCell ref="A2:F2"/>
    <mergeCell ref="A11:C12"/>
    <mergeCell ref="D4:F4"/>
    <mergeCell ref="E28:F28"/>
    <mergeCell ref="A7:C8"/>
    <mergeCell ref="A10:C10"/>
    <mergeCell ref="D11:F12"/>
    <mergeCell ref="A33:E33"/>
    <mergeCell ref="A32:E32"/>
    <mergeCell ref="A30:F30"/>
    <mergeCell ref="D7:F8"/>
    <mergeCell ref="A15:F15"/>
    <mergeCell ref="D10:F10"/>
    <mergeCell ref="A35:E35"/>
    <mergeCell ref="A1:F1"/>
    <mergeCell ref="A6:C6"/>
    <mergeCell ref="A31:E31"/>
    <mergeCell ref="D6:F6"/>
    <mergeCell ref="B4:C4"/>
  </mergeCells>
  <conditionalFormatting sqref="E17:E26">
    <cfRule type="cellIs" priority="1" operator="greaterThanOrEqual" dxfId="3">
      <formula>0.95</formula>
    </cfRule>
    <cfRule type="cellIs" priority="2" operator="between" dxfId="0">
      <formula>0.9</formula>
      <formula>0.9499</formula>
    </cfRule>
    <cfRule type="cellIs" priority="3" operator="between" dxfId="1">
      <formula>0.8</formula>
      <formula>0.8999</formula>
    </cfRule>
    <cfRule type="cellIs" priority="4" operator="between" dxfId="2">
      <formula>0.0001</formula>
      <formula>0.7999</formula>
    </cfRule>
  </conditionalFormatting>
  <conditionalFormatting sqref="F17:F26">
    <cfRule type="expression" priority="5" dxfId="3">
      <formula>F17="Excellent"</formula>
    </cfRule>
    <cfRule type="expression" priority="6" dxfId="0">
      <formula>F17="Meets Expectations"</formula>
    </cfRule>
    <cfRule type="expression" priority="7" dxfId="1">
      <formula>F17="Needs Improvement"</formula>
    </cfRule>
    <cfRule type="expression" priority="8" dxfId="2">
      <formula>F17="Corrective Education Required"</formula>
    </cfRule>
  </conditionalFormatting>
  <conditionalFormatting sqref="D7">
    <cfRule type="cellIs" priority="9" operator="greaterThanOrEqual" dxfId="3">
      <formula>0.95</formula>
    </cfRule>
    <cfRule type="cellIs" priority="10" operator="between" dxfId="0">
      <formula>0.9</formula>
      <formula>0.9499</formula>
    </cfRule>
    <cfRule type="cellIs" priority="11" operator="between" dxfId="1">
      <formula>0.8</formula>
      <formula>0.8999</formula>
    </cfRule>
    <cfRule type="cellIs" priority="12" operator="between" dxfId="2">
      <formula>0.0001</formula>
      <formula>0.7999</formula>
    </cfRule>
  </conditionalFormatting>
  <conditionalFormatting sqref="E28">
    <cfRule type="expression" priority="13" dxfId="3">
      <formula>E28="Excellent"</formula>
    </cfRule>
    <cfRule type="expression" priority="14" dxfId="0">
      <formula>E28="Meets Expectations"</formula>
    </cfRule>
    <cfRule type="expression" priority="15" dxfId="1">
      <formula>E28="Needs Improvement"</formula>
    </cfRule>
    <cfRule type="expression" priority="16" dxfId="2">
      <formula>E28="Corrective Education Required"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7A6E"/>
    <outlinePr summaryBelow="1" summaryRight="1"/>
    <pageSetUpPr fitToPage="1"/>
  </sheetPr>
  <dimension ref="A1:I52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  <col width="10" customWidth="1" min="4" max="4"/>
    <col width="42" customWidth="1" min="5" max="5"/>
  </cols>
  <sheetData>
    <row r="1" ht="42" customHeight="1">
      <c r="A1" s="25" t="inlineStr">
        <is>
          <t>Clinical Documentation Audit</t>
        </is>
      </c>
    </row>
    <row r="2" ht="26" customHeight="1">
      <c r="A2" s="26" t="inlineStr">
        <is>
          <t>One chart per sheet · tick each item · scoring &amp; rating are automatic</t>
        </is>
      </c>
    </row>
    <row r="3" ht="8" customHeight="1"/>
    <row r="4" ht="28" customHeight="1">
      <c r="A4" s="27" t="inlineStr">
        <is>
          <t>Provider:</t>
        </is>
      </c>
      <c r="B4" s="4" t="n"/>
      <c r="C4" s="27" t="inlineStr">
        <is>
          <t>Date of Service:</t>
        </is>
      </c>
      <c r="D4" s="4" t="n"/>
      <c r="E4" s="28" t="inlineStr">
        <is>
          <t>How to audit a claim
1. Click a Claim 01–10 tab (bottom of the workbook)
2. Fill yellow header + ratings — auto-scores
3. Move to the next Claim tab · repeat
Global metrics roll up automatically
• Open the Provider Metrics tab — it pulls the 10 claim scores
  live from the Claim tabs so you see the running provider average.
Start a new provider (after 10 claims)
1. Ctrl+click Claim 01 through Claim 10 to group them
2. Select the yellow header + rating + note cells on any tab
3. Press Delete → all 10 tabs clear at once
4. Right-click any tab → Ungroup Sheets</t>
        </is>
      </c>
    </row>
    <row r="5" ht="26" customHeight="1">
      <c r="A5" s="27" t="inlineStr">
        <is>
          <t>Claim Number:</t>
        </is>
      </c>
      <c r="B5" s="110" t="n"/>
      <c r="C5" s="27" t="inlineStr">
        <is>
          <t>Auditor:</t>
        </is>
      </c>
      <c r="D5" s="4" t="n"/>
      <c r="E5" s="51" t="n"/>
    </row>
    <row r="6" ht="28" customHeight="1">
      <c r="A6" s="27" t="inlineStr">
        <is>
          <t>Category:</t>
        </is>
      </c>
      <c r="B6" s="4" t="n"/>
      <c r="C6" s="27" t="inlineStr">
        <is>
          <t>Payer:</t>
        </is>
      </c>
      <c r="D6" s="4" t="n"/>
      <c r="E6" s="52" t="n"/>
    </row>
    <row r="7" ht="26" customHeight="1">
      <c r="A7" s="27" t="inlineStr">
        <is>
          <t>Date of audit:</t>
        </is>
      </c>
      <c r="B7" s="109" t="n"/>
    </row>
    <row r="8" ht="32" customHeight="1">
      <c r="A8" s="29" t="inlineStr">
        <is>
          <t>§</t>
        </is>
      </c>
      <c r="B8" s="29" t="inlineStr">
        <is>
          <t>Documentation element</t>
        </is>
      </c>
      <c r="C8" s="29" t="n"/>
      <c r="D8" s="29" t="inlineStr">
        <is>
          <t>Pts</t>
        </is>
      </c>
      <c r="E8" s="29" t="n"/>
    </row>
    <row r="9" ht="30" customHeight="1">
      <c r="A9" s="30" t="inlineStr">
        <is>
          <t xml:space="preserve">  A · Diagnosis Accuracy   (4 items)</t>
        </is>
      </c>
    </row>
    <row r="10" ht="40" customHeight="1">
      <c r="A10" s="31" t="inlineStr">
        <is>
          <t>A1</t>
        </is>
      </c>
      <c r="B10" s="10" t="inlineStr">
        <is>
          <t>All reported diagnoses are clinically supported in the note</t>
        </is>
      </c>
      <c r="C10" s="32" t="n"/>
      <c r="D10" s="33">
        <f>IF(C10="✓ Met",1,IF(C10="△ Partial",0.5,IF(C10="✗ Not Met",0,IF(C10="N/A","",""))))</f>
        <v/>
      </c>
      <c r="E10" s="10" t="n"/>
    </row>
    <row r="11" ht="40" customHeight="1">
      <c r="A11" s="31" t="inlineStr">
        <is>
          <t>A2</t>
        </is>
      </c>
      <c r="B11" s="10" t="inlineStr">
        <is>
          <t>Chronic conditions actively addressed at this visit (not just carried forward)</t>
        </is>
      </c>
      <c r="C11" s="32" t="n"/>
      <c r="D11" s="33">
        <f>IF(C11="✓ Met",1,IF(C11="△ Partial",0.5,IF(C11="✗ Not Met",0,IF(C11="N/A","",""))))</f>
        <v/>
      </c>
      <c r="E11" s="10" t="n"/>
    </row>
    <row r="12" ht="40" customHeight="1">
      <c r="A12" s="31" t="inlineStr">
        <is>
          <t>A3</t>
        </is>
      </c>
      <c r="B12" s="10" t="inlineStr">
        <is>
          <t>No unsupported or resolved conditions billed as active</t>
        </is>
      </c>
      <c r="C12" s="32" t="n"/>
      <c r="D12" s="33">
        <f>IF(C12="✓ Met",1,IF(C12="△ Partial",0.5,IF(C12="✗ Not Met",0,IF(C12="N/A","",""))))</f>
        <v/>
      </c>
      <c r="E12" s="10" t="n"/>
    </row>
    <row r="13" ht="40" customHeight="1">
      <c r="A13" s="31" t="inlineStr">
        <is>
          <t>A4</t>
        </is>
      </c>
      <c r="B13" s="10" t="inlineStr">
        <is>
          <t>Problem list matches today's assessment &amp; plan</t>
        </is>
      </c>
      <c r="C13" s="32" t="n"/>
      <c r="D13" s="33">
        <f>IF(C13="✓ Met",1,IF(C13="△ Partial",0.5,IF(C13="✗ Not Met",0,IF(C13="N/A","",""))))</f>
        <v/>
      </c>
      <c r="E13" s="10" t="n"/>
    </row>
    <row r="14" ht="6" customHeight="1"/>
    <row r="15" ht="30" customHeight="1">
      <c r="A15" s="30" t="inlineStr">
        <is>
          <t xml:space="preserve">  B · Documentation Specificity   (4 items)</t>
        </is>
      </c>
    </row>
    <row r="16" ht="40" customHeight="1">
      <c r="A16" s="31" t="inlineStr">
        <is>
          <t>B1</t>
        </is>
      </c>
      <c r="B16" s="10" t="inlineStr">
        <is>
          <t>ICD-10 codes at highest available specificity (avoid 'unspecified')</t>
        </is>
      </c>
      <c r="C16" s="32" t="n"/>
      <c r="D16" s="33">
        <f>IF(C16="✓ Met",1,IF(C16="△ Partial",0.5,IF(C16="✗ Not Met",0,IF(C16="N/A","",""))))</f>
        <v/>
      </c>
      <c r="E16" s="10" t="n"/>
    </row>
    <row r="17" ht="40" customHeight="1">
      <c r="A17" s="31" t="inlineStr">
        <is>
          <t>B2</t>
        </is>
      </c>
      <c r="B17" s="10" t="inlineStr">
        <is>
          <t>Diabetes: type + complications + control specified</t>
        </is>
      </c>
      <c r="C17" s="32" t="n"/>
      <c r="D17" s="33">
        <f>IF(C17="✓ Met",1,IF(C17="△ Partial",0.5,IF(C17="✗ Not Met",0,IF(C17="N/A","",""))))</f>
        <v/>
      </c>
      <c r="E17" s="10" t="n"/>
    </row>
    <row r="18" ht="40" customHeight="1">
      <c r="A18" s="31" t="inlineStr">
        <is>
          <t>B3</t>
        </is>
      </c>
      <c r="B18" s="10" t="inlineStr">
        <is>
          <t>S / O / A / P sections tell one consistent clinical story</t>
        </is>
      </c>
      <c r="C18" s="32" t="n"/>
      <c r="D18" s="33">
        <f>IF(C18="✓ Met",1,IF(C18="△ Partial",0.5,IF(C18="✗ Not Met",0,IF(C18="N/A","",""))))</f>
        <v/>
      </c>
      <c r="E18" s="10" t="n"/>
    </row>
    <row r="19" ht="40" customHeight="1">
      <c r="A19" s="31" t="inlineStr">
        <is>
          <t>B4</t>
        </is>
      </c>
      <c r="B19" s="10" t="inlineStr">
        <is>
          <t>Note signed, dated, and closed by the rendering provider</t>
        </is>
      </c>
      <c r="C19" s="32" t="n"/>
      <c r="D19" s="33">
        <f>IF(C19="✓ Met",1,IF(C19="△ Partial",0.5,IF(C19="✗ Not Met",0,IF(C19="N/A","",""))))</f>
        <v/>
      </c>
      <c r="E19" s="10" t="n"/>
    </row>
    <row r="20" ht="6" customHeight="1"/>
    <row r="21" ht="30" customHeight="1">
      <c r="A21" s="30" t="inlineStr">
        <is>
          <t xml:space="preserve">  C · SOAP Note Structure   (4 items)</t>
        </is>
      </c>
    </row>
    <row r="22" ht="40" customHeight="1">
      <c r="A22" s="31" t="inlineStr">
        <is>
          <t>C1</t>
        </is>
      </c>
      <c r="B22" s="10" t="inlineStr">
        <is>
          <t>Subjective — patient's history, symptoms, and concerns clearly documented</t>
        </is>
      </c>
      <c r="C22" s="32" t="n"/>
      <c r="D22" s="33">
        <f>IF(C22="✓ Met",1,IF(C22="△ Partial",0.5,IF(C22="✗ Not Met",0,IF(C22="N/A","",""))))</f>
        <v/>
      </c>
      <c r="E22" s="10" t="n"/>
    </row>
    <row r="23" ht="40" customHeight="1">
      <c r="A23" s="31" t="inlineStr">
        <is>
          <t>C2</t>
        </is>
      </c>
      <c r="B23" s="10" t="inlineStr">
        <is>
          <t>Objective — exam findings, vitals, and relevant test results documented</t>
        </is>
      </c>
      <c r="C23" s="32" t="n"/>
      <c r="D23" s="33">
        <f>IF(C23="✓ Met",1,IF(C23="△ Partial",0.5,IF(C23="✗ Not Met",0,IF(C23="N/A","",""))))</f>
        <v/>
      </c>
      <c r="E23" s="10" t="n"/>
    </row>
    <row r="24" ht="40" customHeight="1">
      <c r="A24" s="31" t="inlineStr">
        <is>
          <t>C3</t>
        </is>
      </c>
      <c r="B24" s="10" t="inlineStr">
        <is>
          <t>Assessment — each diagnosis explicitly assessed with clinical reasoning</t>
        </is>
      </c>
      <c r="C24" s="32" t="n"/>
      <c r="D24" s="33">
        <f>IF(C24="✓ Met",1,IF(C24="△ Partial",0.5,IF(C24="✗ Not Met",0,IF(C24="N/A","",""))))</f>
        <v/>
      </c>
      <c r="E24" s="10" t="n"/>
    </row>
    <row r="25" ht="40" customHeight="1">
      <c r="A25" s="31" t="inlineStr">
        <is>
          <t>C4</t>
        </is>
      </c>
      <c r="B25" s="10" t="inlineStr">
        <is>
          <t>Plan — treatment plan documented (medication / referral / testing / follow-up)</t>
        </is>
      </c>
      <c r="C25" s="32" t="n"/>
      <c r="D25" s="33">
        <f>IF(C25="✓ Met",1,IF(C25="△ Partial",0.5,IF(C25="✗ Not Met",0,IF(C25="N/A","",""))))</f>
        <v/>
      </c>
      <c r="E25" s="10" t="n"/>
    </row>
    <row r="26" ht="6" customHeight="1"/>
    <row r="27" ht="30" customHeight="1">
      <c r="A27" s="30" t="inlineStr">
        <is>
          <t xml:space="preserve">  D · HCC Capture   (2 items)</t>
        </is>
      </c>
    </row>
    <row r="28" ht="40" customHeight="1">
      <c r="A28" s="31" t="inlineStr">
        <is>
          <t>D1</t>
        </is>
      </c>
      <c r="B28" s="10" t="inlineStr">
        <is>
          <t>Prior-year HCCs recaptured (or explicitly resolved with rationale)</t>
        </is>
      </c>
      <c r="C28" s="32" t="n"/>
      <c r="D28" s="33">
        <f>IF(C28="✓ Met",1,IF(C28="△ Partial",0.5,IF(C28="✗ Not Met",0,IF(C28="N/A","",""))))</f>
        <v/>
      </c>
      <c r="E28" s="10" t="n"/>
    </row>
    <row r="29" ht="40" customHeight="1">
      <c r="A29" s="31" t="inlineStr">
        <is>
          <t>D2</t>
        </is>
      </c>
      <c r="B29" s="10" t="inlineStr">
        <is>
          <t>Suspected undocumented chronic conditions captured with support</t>
        </is>
      </c>
      <c r="C29" s="32" t="n"/>
      <c r="D29" s="33">
        <f>IF(C29="✓ Met",1,IF(C29="△ Partial",0.5,IF(C29="✗ Not Met",0,IF(C29="N/A","",""))))</f>
        <v/>
      </c>
      <c r="E29" s="10" t="n"/>
    </row>
    <row r="30" ht="6" customHeight="1"/>
    <row r="31" ht="30" customHeight="1">
      <c r="A31" s="30" t="inlineStr">
        <is>
          <t xml:space="preserve">  E · Documentation Supporting Quality Measures   (2 items)</t>
        </is>
      </c>
    </row>
    <row r="32" ht="40" customHeight="1">
      <c r="A32" s="31" t="inlineStr">
        <is>
          <t>E1</t>
        </is>
      </c>
      <c r="B32" s="10" t="inlineStr">
        <is>
          <t>Screening / measure results documented with specific values (PHQ-9, GAD-7, BMI, BP, HbA1c) — not just 'screened' or 'normal'</t>
        </is>
      </c>
      <c r="C32" s="32" t="n"/>
      <c r="D32" s="33">
        <f>IF(C32="✓ Met",1,IF(C32="△ Partial",0.5,IF(C32="✗ Not Met",0,IF(C32="N/A","",""))))</f>
        <v/>
      </c>
      <c r="E32" s="10" t="n"/>
    </row>
    <row r="33" ht="40" customHeight="1">
      <c r="A33" s="31" t="inlineStr">
        <is>
          <t>E2</t>
        </is>
      </c>
      <c r="B33" s="10" t="inlineStr">
        <is>
          <t>Follow-up plan documented when a screening is positive or a result is abnormal (positive PHQ-9 → depression plan; elevated BMI → nutrition counseling)</t>
        </is>
      </c>
      <c r="C33" s="32" t="n"/>
      <c r="D33" s="33">
        <f>IF(C33="✓ Met",1,IF(C33="△ Partial",0.5,IF(C33="✗ Not Met",0,IF(C33="N/A","",""))))</f>
        <v/>
      </c>
      <c r="E33" s="10" t="n"/>
    </row>
    <row r="34" ht="6" customHeight="1"/>
    <row r="36" ht="30" customHeight="1">
      <c r="A36" s="34" t="inlineStr">
        <is>
          <t xml:space="preserve">  SUMMARY</t>
        </is>
      </c>
    </row>
    <row r="37" ht="24" customHeight="1">
      <c r="A37" s="6" t="inlineStr">
        <is>
          <t>§</t>
        </is>
      </c>
      <c r="B37" s="6" t="inlineStr">
        <is>
          <t>Category</t>
        </is>
      </c>
      <c r="C37" s="6" t="n"/>
      <c r="D37" s="6" t="inlineStr">
        <is>
          <t>% Met</t>
        </is>
      </c>
      <c r="E37" s="6" t="inlineStr"/>
    </row>
    <row r="38" ht="24" customHeight="1">
      <c r="A38" s="35" t="inlineStr">
        <is>
          <t>A</t>
        </is>
      </c>
      <c r="B38" s="11" t="inlineStr">
        <is>
          <t>Diagnosis Accuracy</t>
        </is>
      </c>
      <c r="C38" s="36">
        <f>COUNTIF(C10:C13,"✓ Met")+COUNTIF(C10:C13,"△ Partial")+COUNTIF(C10:C13,"✗ Not Met")</f>
        <v/>
      </c>
      <c r="D38" s="37">
        <f>IFERROR(SUM(D10:D13)/C38,"")</f>
        <v/>
      </c>
      <c r="E38" s="14" t="inlineStr"/>
    </row>
    <row r="39" ht="24" customHeight="1">
      <c r="A39" s="35" t="inlineStr">
        <is>
          <t>B</t>
        </is>
      </c>
      <c r="B39" s="11" t="inlineStr">
        <is>
          <t>Documentation Specificity</t>
        </is>
      </c>
      <c r="C39" s="36">
        <f>COUNTIF(C16:C19,"✓ Met")+COUNTIF(C16:C19,"△ Partial")+COUNTIF(C16:C19,"✗ Not Met")</f>
        <v/>
      </c>
      <c r="D39" s="37">
        <f>IFERROR(SUM(D16:D19)/C39,"")</f>
        <v/>
      </c>
      <c r="E39" s="14" t="inlineStr"/>
    </row>
    <row r="40" ht="24" customHeight="1">
      <c r="A40" s="35" t="inlineStr">
        <is>
          <t>C</t>
        </is>
      </c>
      <c r="B40" s="11" t="inlineStr">
        <is>
          <t>SOAP Note Structure</t>
        </is>
      </c>
      <c r="C40" s="36">
        <f>COUNTIF(C22:C25,"✓ Met")+COUNTIF(C22:C25,"△ Partial")+COUNTIF(C22:C25,"✗ Not Met")</f>
        <v/>
      </c>
      <c r="D40" s="37">
        <f>IFERROR(SUM(D22:D25)/C40,"")</f>
        <v/>
      </c>
      <c r="E40" s="14" t="inlineStr"/>
    </row>
    <row r="41" ht="24" customHeight="1">
      <c r="A41" s="35" t="inlineStr">
        <is>
          <t>D</t>
        </is>
      </c>
      <c r="B41" s="11" t="inlineStr">
        <is>
          <t>HCC Capture</t>
        </is>
      </c>
      <c r="C41" s="36">
        <f>COUNTIF(C28:C29,"✓ Met")+COUNTIF(C28:C29,"△ Partial")+COUNTIF(C28:C29,"✗ Not Met")</f>
        <v/>
      </c>
      <c r="D41" s="37">
        <f>IFERROR(SUM(D28:D29)/C41,"")</f>
        <v/>
      </c>
      <c r="E41" s="14" t="inlineStr"/>
    </row>
    <row r="42" ht="24" customHeight="1">
      <c r="A42" s="35" t="inlineStr">
        <is>
          <t>E</t>
        </is>
      </c>
      <c r="B42" s="11" t="inlineStr">
        <is>
          <t>Documentation Supporting Quality Measures</t>
        </is>
      </c>
      <c r="C42" s="36">
        <f>COUNTIF(C32:C33,"✓ Met")+COUNTIF(C32:C33,"△ Partial")+COUNTIF(C32:C33,"✗ Not Met")</f>
        <v/>
      </c>
      <c r="D42" s="37">
        <f>IFERROR(SUM(D32:D33)/C42,"")</f>
        <v/>
      </c>
      <c r="E42" s="14" t="inlineStr"/>
    </row>
    <row r="44" ht="44" customHeight="1">
      <c r="A44" s="38" t="inlineStr">
        <is>
          <t xml:space="preserve">  OVERALL COMPLIANCE</t>
        </is>
      </c>
      <c r="D44" s="39">
        <f>IFERROR(SUMPRODUCT(D38:D42,C38:C42)/SUM(C38:C42),"")</f>
        <v/>
      </c>
      <c r="E44" s="17" t="n"/>
    </row>
    <row r="45" ht="32" customHeight="1">
      <c r="A45" s="40" t="inlineStr">
        <is>
          <t xml:space="preserve">  PERFORMANCE BAND</t>
        </is>
      </c>
      <c r="B45" s="53" t="n"/>
      <c r="C45" s="54" t="n"/>
      <c r="D45" s="18">
        <f>IF(D44="","",IF(D44&gt;=0.95,"Excellent",IF(D44&gt;=0.90,"Meets Expectations",IF(D44&gt;=0.80,"Needs Improvement","Corrective Education Required"))))</f>
        <v/>
      </c>
      <c r="E45" s="14" t="n"/>
    </row>
    <row r="46" ht="28" customHeight="1">
      <c r="A46" s="62" t="n"/>
      <c r="B46" s="62" t="n"/>
      <c r="C46" s="62" t="n"/>
      <c r="D46" s="62" t="n"/>
      <c r="E46" s="62" t="n"/>
      <c r="F46" s="62" t="n"/>
      <c r="G46" s="62" t="n"/>
      <c r="H46" s="62" t="n"/>
      <c r="I46" s="62" t="n"/>
    </row>
    <row r="47" ht="30" customHeight="1">
      <c r="A47" s="62" t="n"/>
      <c r="B47" s="62" t="n"/>
      <c r="C47" s="62" t="n"/>
      <c r="D47" s="62" t="n"/>
      <c r="E47" s="62" t="n"/>
      <c r="F47" s="62" t="n"/>
      <c r="G47" s="62" t="n"/>
      <c r="H47" s="62" t="n"/>
      <c r="I47" s="62" t="n"/>
    </row>
    <row r="48">
      <c r="A48" s="62" t="n"/>
      <c r="B48" s="62" t="n"/>
      <c r="C48" s="62" t="n"/>
      <c r="D48" s="62" t="n"/>
      <c r="E48" s="62" t="n"/>
      <c r="F48" s="62" t="n"/>
      <c r="G48" s="62" t="n"/>
      <c r="H48" s="62" t="n"/>
      <c r="I48" s="62" t="n"/>
    </row>
    <row r="49" ht="26" customHeight="1">
      <c r="A49" s="62" t="n"/>
      <c r="B49" s="62" t="n"/>
      <c r="C49" s="62" t="n"/>
      <c r="D49" s="62" t="n"/>
      <c r="E49" s="62" t="n"/>
      <c r="F49" s="62" t="n"/>
      <c r="G49" s="62" t="n"/>
      <c r="H49" s="62" t="n"/>
      <c r="I49" s="62" t="n"/>
    </row>
    <row r="50">
      <c r="A50" s="62" t="n"/>
      <c r="B50" s="62" t="n"/>
      <c r="C50" s="62" t="n"/>
      <c r="D50" s="62" t="n"/>
      <c r="E50" s="62" t="n"/>
      <c r="F50" s="62" t="n"/>
      <c r="G50" s="62" t="n"/>
      <c r="H50" s="62" t="n"/>
      <c r="I50" s="62" t="n"/>
    </row>
    <row r="51" ht="28" customHeight="1">
      <c r="A51" s="62" t="n"/>
      <c r="B51" s="62" t="n"/>
      <c r="C51" s="62" t="n"/>
      <c r="D51" s="62" t="n"/>
      <c r="E51" s="62" t="n"/>
      <c r="F51" s="62" t="n"/>
      <c r="G51" s="62" t="n"/>
      <c r="H51" s="62" t="n"/>
      <c r="I51" s="62" t="n"/>
    </row>
    <row r="52" ht="30" customHeight="1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</row>
  </sheetData>
  <mergeCells count="11">
    <mergeCell ref="A21:E21"/>
    <mergeCell ref="A44:C44"/>
    <mergeCell ref="A2:E2"/>
    <mergeCell ref="A45:C45"/>
    <mergeCell ref="A15:E15"/>
    <mergeCell ref="E4:E6"/>
    <mergeCell ref="A1:E1"/>
    <mergeCell ref="A36:E36"/>
    <mergeCell ref="A31:E31"/>
    <mergeCell ref="A9:E9"/>
    <mergeCell ref="A27:E27"/>
  </mergeCells>
  <dataValidations count="3">
    <dataValidation sqref="B6" showDropDown="0" showInputMessage="0" showErrorMessage="0" allowBlank="1" type="list">
      <formula1>"Diabetes,Chronic Kidney Disease,Annual Wellness Visit,High RAF Patient,Random Selection"</formula1>
    </dataValidation>
    <dataValidation sqref="D6" showDropDown="0" showInputMessage="0" showErrorMessage="0" allowBlank="1" type="list">
      <formula1>"Medicare Advantage,Commercial,Medicaid,Dual"</formula1>
    </dataValidation>
    <dataValidation sqref="C10:C34" showDropDown="0" showInputMessage="0" showErrorMessage="0" allowBlank="1" type="list">
      <formula1>"✓ Met,△ Partial,✗ Not Met,N/A"</formula1>
    </dataValidation>
  </dataValidations>
  <printOptions horizontalCentered="1"/>
  <pageMargins left="0.3" right="0.3" top="0.4" bottom="0.4" header="0.5" footer="0.5"/>
  <pageSetup orientation="portrait" paperSize="1" fitToHeight="1" fitToWidth="1"/>
</worksheet>
</file>

<file path=xl/worksheets/sheet4.xml><?xml version="1.0" encoding="utf-8"?>
<worksheet xmlns="http://schemas.openxmlformats.org/spreadsheetml/2006/main">
  <sheetPr>
    <tabColor rgb="001E7A6E"/>
    <outlinePr summaryBelow="1" summaryRight="1"/>
    <pageSetUpPr fitToPage="1"/>
  </sheetPr>
  <dimension ref="A1:I52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  <col width="10" customWidth="1" min="4" max="4"/>
    <col width="42" customWidth="1" min="5" max="5"/>
  </cols>
  <sheetData>
    <row r="1" ht="42" customHeight="1">
      <c r="A1" s="25" t="inlineStr">
        <is>
          <t>Clinical Documentation Audit</t>
        </is>
      </c>
    </row>
    <row r="2" ht="26" customHeight="1">
      <c r="A2" s="26" t="inlineStr">
        <is>
          <t>One chart per sheet · tick each item · scoring &amp; rating are automatic</t>
        </is>
      </c>
    </row>
    <row r="3" ht="8" customHeight="1"/>
    <row r="4" ht="28" customHeight="1">
      <c r="A4" s="27" t="inlineStr">
        <is>
          <t>Provider:</t>
        </is>
      </c>
      <c r="B4" s="4" t="n"/>
      <c r="C4" s="27" t="inlineStr">
        <is>
          <t>Date of Service:</t>
        </is>
      </c>
      <c r="D4" s="4" t="n"/>
      <c r="E4" s="28" t="inlineStr">
        <is>
          <t>How to audit a claim
1. Click a Claim 01–10 tab (bottom of the workbook)
2. Fill yellow header + ratings — auto-scores
3. Move to the next Claim tab · repeat
Global metrics roll up automatically
• Open the Provider Metrics tab — it pulls the 10 claim scores
  live from the Claim tabs so you see the running provider average.
Start a new provider (after 10 claims)
1. Ctrl+click Claim 01 through Claim 10 to group them
2. Select the yellow header + rating + note cells on any tab
3. Press Delete → all 10 tabs clear at once
4. Right-click any tab → Ungroup Sheets</t>
        </is>
      </c>
    </row>
    <row r="5" ht="26" customHeight="1">
      <c r="A5" s="27" t="inlineStr">
        <is>
          <t>Claim Number:</t>
        </is>
      </c>
      <c r="B5" s="110" t="n"/>
      <c r="C5" s="27" t="inlineStr">
        <is>
          <t>Auditor:</t>
        </is>
      </c>
      <c r="D5" s="4" t="n"/>
      <c r="E5" s="51" t="n"/>
    </row>
    <row r="6" ht="28" customHeight="1">
      <c r="A6" s="27" t="inlineStr">
        <is>
          <t>Category:</t>
        </is>
      </c>
      <c r="B6" s="4" t="n"/>
      <c r="C6" s="27" t="inlineStr">
        <is>
          <t>Payer:</t>
        </is>
      </c>
      <c r="D6" s="4" t="n"/>
      <c r="E6" s="52" t="n"/>
    </row>
    <row r="7" ht="26" customHeight="1">
      <c r="A7" s="27" t="inlineStr">
        <is>
          <t>Date of audit:</t>
        </is>
      </c>
      <c r="B7" s="109" t="n"/>
    </row>
    <row r="8" ht="32" customHeight="1">
      <c r="A8" s="29" t="inlineStr">
        <is>
          <t>§</t>
        </is>
      </c>
      <c r="B8" s="29" t="inlineStr">
        <is>
          <t>Documentation element</t>
        </is>
      </c>
      <c r="C8" s="29" t="n"/>
      <c r="D8" s="29" t="inlineStr">
        <is>
          <t>Pts</t>
        </is>
      </c>
      <c r="E8" s="29" t="n"/>
    </row>
    <row r="9" ht="30" customHeight="1">
      <c r="A9" s="30" t="inlineStr">
        <is>
          <t xml:space="preserve">  A · Diagnosis Accuracy   (4 items)</t>
        </is>
      </c>
    </row>
    <row r="10" ht="40" customHeight="1">
      <c r="A10" s="31" t="inlineStr">
        <is>
          <t>A1</t>
        </is>
      </c>
      <c r="B10" s="10" t="inlineStr">
        <is>
          <t>All reported diagnoses are clinically supported in the note</t>
        </is>
      </c>
      <c r="C10" s="32" t="n"/>
      <c r="D10" s="33">
        <f>IF(C10="✓ Met",1,IF(C10="△ Partial",0.5,IF(C10="✗ Not Met",0,IF(C10="N/A","",""))))</f>
        <v/>
      </c>
      <c r="E10" s="10" t="n"/>
    </row>
    <row r="11" ht="40" customHeight="1">
      <c r="A11" s="31" t="inlineStr">
        <is>
          <t>A2</t>
        </is>
      </c>
      <c r="B11" s="10" t="inlineStr">
        <is>
          <t>Chronic conditions actively addressed at this visit (not just carried forward)</t>
        </is>
      </c>
      <c r="C11" s="32" t="n"/>
      <c r="D11" s="33">
        <f>IF(C11="✓ Met",1,IF(C11="△ Partial",0.5,IF(C11="✗ Not Met",0,IF(C11="N/A","",""))))</f>
        <v/>
      </c>
      <c r="E11" s="10" t="n"/>
    </row>
    <row r="12" ht="40" customHeight="1">
      <c r="A12" s="31" t="inlineStr">
        <is>
          <t>A3</t>
        </is>
      </c>
      <c r="B12" s="10" t="inlineStr">
        <is>
          <t>No unsupported or resolved conditions billed as active</t>
        </is>
      </c>
      <c r="C12" s="32" t="n"/>
      <c r="D12" s="33">
        <f>IF(C12="✓ Met",1,IF(C12="△ Partial",0.5,IF(C12="✗ Not Met",0,IF(C12="N/A","",""))))</f>
        <v/>
      </c>
      <c r="E12" s="10" t="n"/>
    </row>
    <row r="13" ht="40" customHeight="1">
      <c r="A13" s="31" t="inlineStr">
        <is>
          <t>A4</t>
        </is>
      </c>
      <c r="B13" s="10" t="inlineStr">
        <is>
          <t>Problem list matches today's assessment &amp; plan</t>
        </is>
      </c>
      <c r="C13" s="32" t="n"/>
      <c r="D13" s="33">
        <f>IF(C13="✓ Met",1,IF(C13="△ Partial",0.5,IF(C13="✗ Not Met",0,IF(C13="N/A","",""))))</f>
        <v/>
      </c>
      <c r="E13" s="10" t="n"/>
    </row>
    <row r="14" ht="6" customHeight="1"/>
    <row r="15" ht="30" customHeight="1">
      <c r="A15" s="30" t="inlineStr">
        <is>
          <t xml:space="preserve">  B · Documentation Specificity   (4 items)</t>
        </is>
      </c>
    </row>
    <row r="16" ht="40" customHeight="1">
      <c r="A16" s="31" t="inlineStr">
        <is>
          <t>B1</t>
        </is>
      </c>
      <c r="B16" s="10" t="inlineStr">
        <is>
          <t>ICD-10 codes at highest available specificity (avoid 'unspecified')</t>
        </is>
      </c>
      <c r="C16" s="32" t="n"/>
      <c r="D16" s="33">
        <f>IF(C16="✓ Met",1,IF(C16="△ Partial",0.5,IF(C16="✗ Not Met",0,IF(C16="N/A","",""))))</f>
        <v/>
      </c>
      <c r="E16" s="10" t="n"/>
    </row>
    <row r="17" ht="40" customHeight="1">
      <c r="A17" s="31" t="inlineStr">
        <is>
          <t>B2</t>
        </is>
      </c>
      <c r="B17" s="10" t="inlineStr">
        <is>
          <t>Diabetes: type + complications + control specified</t>
        </is>
      </c>
      <c r="C17" s="32" t="n"/>
      <c r="D17" s="33">
        <f>IF(C17="✓ Met",1,IF(C17="△ Partial",0.5,IF(C17="✗ Not Met",0,IF(C17="N/A","",""))))</f>
        <v/>
      </c>
      <c r="E17" s="10" t="n"/>
    </row>
    <row r="18" ht="40" customHeight="1">
      <c r="A18" s="31" t="inlineStr">
        <is>
          <t>B3</t>
        </is>
      </c>
      <c r="B18" s="10" t="inlineStr">
        <is>
          <t>S / O / A / P sections tell one consistent clinical story</t>
        </is>
      </c>
      <c r="C18" s="32" t="n"/>
      <c r="D18" s="33">
        <f>IF(C18="✓ Met",1,IF(C18="△ Partial",0.5,IF(C18="✗ Not Met",0,IF(C18="N/A","",""))))</f>
        <v/>
      </c>
      <c r="E18" s="10" t="n"/>
    </row>
    <row r="19" ht="40" customHeight="1">
      <c r="A19" s="31" t="inlineStr">
        <is>
          <t>B4</t>
        </is>
      </c>
      <c r="B19" s="10" t="inlineStr">
        <is>
          <t>Note signed, dated, and closed by the rendering provider</t>
        </is>
      </c>
      <c r="C19" s="32" t="n"/>
      <c r="D19" s="33">
        <f>IF(C19="✓ Met",1,IF(C19="△ Partial",0.5,IF(C19="✗ Not Met",0,IF(C19="N/A","",""))))</f>
        <v/>
      </c>
      <c r="E19" s="10" t="n"/>
    </row>
    <row r="20" ht="6" customHeight="1"/>
    <row r="21" ht="30" customHeight="1">
      <c r="A21" s="30" t="inlineStr">
        <is>
          <t xml:space="preserve">  C · SOAP Note Structure   (4 items)</t>
        </is>
      </c>
    </row>
    <row r="22" ht="40" customHeight="1">
      <c r="A22" s="31" t="inlineStr">
        <is>
          <t>C1</t>
        </is>
      </c>
      <c r="B22" s="10" t="inlineStr">
        <is>
          <t>Subjective — patient's history, symptoms, and concerns clearly documented</t>
        </is>
      </c>
      <c r="C22" s="32" t="n"/>
      <c r="D22" s="33">
        <f>IF(C22="✓ Met",1,IF(C22="△ Partial",0.5,IF(C22="✗ Not Met",0,IF(C22="N/A","",""))))</f>
        <v/>
      </c>
      <c r="E22" s="10" t="n"/>
    </row>
    <row r="23" ht="40" customHeight="1">
      <c r="A23" s="31" t="inlineStr">
        <is>
          <t>C2</t>
        </is>
      </c>
      <c r="B23" s="10" t="inlineStr">
        <is>
          <t>Objective — exam findings, vitals, and relevant test results documented</t>
        </is>
      </c>
      <c r="C23" s="32" t="n"/>
      <c r="D23" s="33">
        <f>IF(C23="✓ Met",1,IF(C23="△ Partial",0.5,IF(C23="✗ Not Met",0,IF(C23="N/A","",""))))</f>
        <v/>
      </c>
      <c r="E23" s="10" t="n"/>
    </row>
    <row r="24" ht="40" customHeight="1">
      <c r="A24" s="31" t="inlineStr">
        <is>
          <t>C3</t>
        </is>
      </c>
      <c r="B24" s="10" t="inlineStr">
        <is>
          <t>Assessment — each diagnosis explicitly assessed with clinical reasoning</t>
        </is>
      </c>
      <c r="C24" s="32" t="n"/>
      <c r="D24" s="33">
        <f>IF(C24="✓ Met",1,IF(C24="△ Partial",0.5,IF(C24="✗ Not Met",0,IF(C24="N/A","",""))))</f>
        <v/>
      </c>
      <c r="E24" s="10" t="n"/>
    </row>
    <row r="25" ht="40" customHeight="1">
      <c r="A25" s="31" t="inlineStr">
        <is>
          <t>C4</t>
        </is>
      </c>
      <c r="B25" s="10" t="inlineStr">
        <is>
          <t>Plan — treatment plan documented (medication / referral / testing / follow-up)</t>
        </is>
      </c>
      <c r="C25" s="32" t="n"/>
      <c r="D25" s="33">
        <f>IF(C25="✓ Met",1,IF(C25="△ Partial",0.5,IF(C25="✗ Not Met",0,IF(C25="N/A","",""))))</f>
        <v/>
      </c>
      <c r="E25" s="10" t="n"/>
    </row>
    <row r="26" ht="6" customHeight="1"/>
    <row r="27" ht="30" customHeight="1">
      <c r="A27" s="30" t="inlineStr">
        <is>
          <t xml:space="preserve">  D · HCC Capture   (2 items)</t>
        </is>
      </c>
    </row>
    <row r="28" ht="40" customHeight="1">
      <c r="A28" s="31" t="inlineStr">
        <is>
          <t>D1</t>
        </is>
      </c>
      <c r="B28" s="10" t="inlineStr">
        <is>
          <t>Prior-year HCCs recaptured (or explicitly resolved with rationale)</t>
        </is>
      </c>
      <c r="C28" s="32" t="n"/>
      <c r="D28" s="33">
        <f>IF(C28="✓ Met",1,IF(C28="△ Partial",0.5,IF(C28="✗ Not Met",0,IF(C28="N/A","",""))))</f>
        <v/>
      </c>
      <c r="E28" s="10" t="n"/>
    </row>
    <row r="29" ht="40" customHeight="1">
      <c r="A29" s="31" t="inlineStr">
        <is>
          <t>D2</t>
        </is>
      </c>
      <c r="B29" s="10" t="inlineStr">
        <is>
          <t>Suspected undocumented chronic conditions captured with support</t>
        </is>
      </c>
      <c r="C29" s="32" t="n"/>
      <c r="D29" s="33">
        <f>IF(C29="✓ Met",1,IF(C29="△ Partial",0.5,IF(C29="✗ Not Met",0,IF(C29="N/A","",""))))</f>
        <v/>
      </c>
      <c r="E29" s="10" t="n"/>
    </row>
    <row r="30" ht="6" customHeight="1"/>
    <row r="31" ht="30" customHeight="1">
      <c r="A31" s="30" t="inlineStr">
        <is>
          <t xml:space="preserve">  E · Documentation Supporting Quality Measures   (2 items)</t>
        </is>
      </c>
    </row>
    <row r="32" ht="40" customHeight="1">
      <c r="A32" s="31" t="inlineStr">
        <is>
          <t>E1</t>
        </is>
      </c>
      <c r="B32" s="10" t="inlineStr">
        <is>
          <t>Screening / measure results documented with specific values (PHQ-9, GAD-7, BMI, BP, HbA1c) — not just 'screened' or 'normal'</t>
        </is>
      </c>
      <c r="C32" s="32" t="n"/>
      <c r="D32" s="33">
        <f>IF(C32="✓ Met",1,IF(C32="△ Partial",0.5,IF(C32="✗ Not Met",0,IF(C32="N/A","",""))))</f>
        <v/>
      </c>
      <c r="E32" s="10" t="n"/>
    </row>
    <row r="33" ht="40" customHeight="1">
      <c r="A33" s="31" t="inlineStr">
        <is>
          <t>E2</t>
        </is>
      </c>
      <c r="B33" s="10" t="inlineStr">
        <is>
          <t>Follow-up plan documented when a screening is positive or a result is abnormal (positive PHQ-9 → depression plan; elevated BMI → nutrition counseling)</t>
        </is>
      </c>
      <c r="C33" s="32" t="n"/>
      <c r="D33" s="33">
        <f>IF(C33="✓ Met",1,IF(C33="△ Partial",0.5,IF(C33="✗ Not Met",0,IF(C33="N/A","",""))))</f>
        <v/>
      </c>
      <c r="E33" s="10" t="n"/>
    </row>
    <row r="34" ht="6" customHeight="1"/>
    <row r="36" ht="30" customHeight="1">
      <c r="A36" s="34" t="inlineStr">
        <is>
          <t xml:space="preserve">  SUMMARY</t>
        </is>
      </c>
    </row>
    <row r="37" ht="24" customHeight="1">
      <c r="A37" s="6" t="inlineStr">
        <is>
          <t>§</t>
        </is>
      </c>
      <c r="B37" s="6" t="inlineStr">
        <is>
          <t>Category</t>
        </is>
      </c>
      <c r="C37" s="6" t="n"/>
      <c r="D37" s="6" t="inlineStr">
        <is>
          <t>% Met</t>
        </is>
      </c>
      <c r="E37" s="6" t="inlineStr"/>
    </row>
    <row r="38" ht="24" customHeight="1">
      <c r="A38" s="35" t="inlineStr">
        <is>
          <t>A</t>
        </is>
      </c>
      <c r="B38" s="11" t="inlineStr">
        <is>
          <t>Diagnosis Accuracy</t>
        </is>
      </c>
      <c r="C38" s="36">
        <f>COUNTIF(C10:C13,"✓ Met")+COUNTIF(C10:C13,"△ Partial")+COUNTIF(C10:C13,"✗ Not Met")</f>
        <v/>
      </c>
      <c r="D38" s="37">
        <f>IFERROR(SUM(D10:D13)/C38,"")</f>
        <v/>
      </c>
      <c r="E38" s="14" t="inlineStr"/>
    </row>
    <row r="39" ht="24" customHeight="1">
      <c r="A39" s="35" t="inlineStr">
        <is>
          <t>B</t>
        </is>
      </c>
      <c r="B39" s="11" t="inlineStr">
        <is>
          <t>Documentation Specificity</t>
        </is>
      </c>
      <c r="C39" s="36">
        <f>COUNTIF(C16:C19,"✓ Met")+COUNTIF(C16:C19,"△ Partial")+COUNTIF(C16:C19,"✗ Not Met")</f>
        <v/>
      </c>
      <c r="D39" s="37">
        <f>IFERROR(SUM(D16:D19)/C39,"")</f>
        <v/>
      </c>
      <c r="E39" s="14" t="inlineStr"/>
    </row>
    <row r="40" ht="24" customHeight="1">
      <c r="A40" s="35" t="inlineStr">
        <is>
          <t>C</t>
        </is>
      </c>
      <c r="B40" s="11" t="inlineStr">
        <is>
          <t>SOAP Note Structure</t>
        </is>
      </c>
      <c r="C40" s="36">
        <f>COUNTIF(C22:C25,"✓ Met")+COUNTIF(C22:C25,"△ Partial")+COUNTIF(C22:C25,"✗ Not Met")</f>
        <v/>
      </c>
      <c r="D40" s="37">
        <f>IFERROR(SUM(D22:D25)/C40,"")</f>
        <v/>
      </c>
      <c r="E40" s="14" t="inlineStr"/>
    </row>
    <row r="41" ht="24" customHeight="1">
      <c r="A41" s="35" t="inlineStr">
        <is>
          <t>D</t>
        </is>
      </c>
      <c r="B41" s="11" t="inlineStr">
        <is>
          <t>HCC Capture</t>
        </is>
      </c>
      <c r="C41" s="36">
        <f>COUNTIF(C28:C29,"✓ Met")+COUNTIF(C28:C29,"△ Partial")+COUNTIF(C28:C29,"✗ Not Met")</f>
        <v/>
      </c>
      <c r="D41" s="37">
        <f>IFERROR(SUM(D28:D29)/C41,"")</f>
        <v/>
      </c>
      <c r="E41" s="14" t="inlineStr"/>
    </row>
    <row r="42" ht="24" customHeight="1">
      <c r="A42" s="35" t="inlineStr">
        <is>
          <t>E</t>
        </is>
      </c>
      <c r="B42" s="11" t="inlineStr">
        <is>
          <t>Documentation Supporting Quality Measures</t>
        </is>
      </c>
      <c r="C42" s="36">
        <f>COUNTIF(C32:C33,"✓ Met")+COUNTIF(C32:C33,"△ Partial")+COUNTIF(C32:C33,"✗ Not Met")</f>
        <v/>
      </c>
      <c r="D42" s="37">
        <f>IFERROR(SUM(D32:D33)/C42,"")</f>
        <v/>
      </c>
      <c r="E42" s="14" t="inlineStr"/>
    </row>
    <row r="44" ht="44" customHeight="1">
      <c r="A44" s="38" t="inlineStr">
        <is>
          <t xml:space="preserve">  OVERALL COMPLIANCE</t>
        </is>
      </c>
      <c r="D44" s="39">
        <f>IFERROR(SUMPRODUCT(D38:D42,C38:C42)/SUM(C38:C42),"")</f>
        <v/>
      </c>
      <c r="E44" s="17" t="n"/>
    </row>
    <row r="45" ht="32" customHeight="1">
      <c r="A45" s="40" t="inlineStr">
        <is>
          <t xml:space="preserve">  PERFORMANCE BAND</t>
        </is>
      </c>
      <c r="B45" s="53" t="n"/>
      <c r="C45" s="54" t="n"/>
      <c r="D45" s="18">
        <f>IF(D44="","",IF(D44&gt;=0.95,"Excellent",IF(D44&gt;=0.90,"Meets Expectations",IF(D44&gt;=0.80,"Needs Improvement","Corrective Education Required"))))</f>
        <v/>
      </c>
      <c r="E45" s="14" t="n"/>
    </row>
    <row r="46" ht="28" customHeight="1">
      <c r="A46" s="62" t="n"/>
      <c r="B46" s="62" t="n"/>
      <c r="C46" s="62" t="n"/>
      <c r="D46" s="62" t="n"/>
      <c r="E46" s="62" t="n"/>
      <c r="F46" s="62" t="n"/>
      <c r="G46" s="62" t="n"/>
      <c r="H46" s="62" t="n"/>
      <c r="I46" s="62" t="n"/>
    </row>
    <row r="47" ht="30" customHeight="1">
      <c r="A47" s="62" t="n"/>
      <c r="B47" s="62" t="n"/>
      <c r="C47" s="62" t="n"/>
      <c r="D47" s="62" t="n"/>
      <c r="E47" s="62" t="n"/>
      <c r="F47" s="62" t="n"/>
      <c r="G47" s="62" t="n"/>
      <c r="H47" s="62" t="n"/>
      <c r="I47" s="62" t="n"/>
    </row>
    <row r="48">
      <c r="A48" s="62" t="n"/>
      <c r="B48" s="62" t="n"/>
      <c r="C48" s="62" t="n"/>
      <c r="D48" s="62" t="n"/>
      <c r="E48" s="62" t="n"/>
      <c r="F48" s="62" t="n"/>
      <c r="G48" s="62" t="n"/>
      <c r="H48" s="62" t="n"/>
      <c r="I48" s="62" t="n"/>
    </row>
    <row r="49" ht="26" customHeight="1">
      <c r="A49" s="62" t="n"/>
      <c r="B49" s="62" t="n"/>
      <c r="C49" s="62" t="n"/>
      <c r="D49" s="62" t="n"/>
      <c r="E49" s="62" t="n"/>
      <c r="F49" s="62" t="n"/>
      <c r="G49" s="62" t="n"/>
      <c r="H49" s="62" t="n"/>
      <c r="I49" s="62" t="n"/>
    </row>
    <row r="50">
      <c r="A50" s="62" t="n"/>
      <c r="B50" s="62" t="n"/>
      <c r="C50" s="62" t="n"/>
      <c r="D50" s="62" t="n"/>
      <c r="E50" s="62" t="n"/>
      <c r="F50" s="62" t="n"/>
      <c r="G50" s="62" t="n"/>
      <c r="H50" s="62" t="n"/>
      <c r="I50" s="62" t="n"/>
    </row>
    <row r="51" ht="28" customHeight="1">
      <c r="A51" s="62" t="n"/>
      <c r="B51" s="62" t="n"/>
      <c r="C51" s="62" t="n"/>
      <c r="D51" s="62" t="n"/>
      <c r="E51" s="62" t="n"/>
      <c r="F51" s="62" t="n"/>
      <c r="G51" s="62" t="n"/>
      <c r="H51" s="62" t="n"/>
      <c r="I51" s="62" t="n"/>
    </row>
    <row r="52" ht="30" customHeight="1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</row>
  </sheetData>
  <mergeCells count="11">
    <mergeCell ref="A21:E21"/>
    <mergeCell ref="A44:C44"/>
    <mergeCell ref="A2:E2"/>
    <mergeCell ref="A45:C45"/>
    <mergeCell ref="A15:E15"/>
    <mergeCell ref="E4:E6"/>
    <mergeCell ref="A1:E1"/>
    <mergeCell ref="A36:E36"/>
    <mergeCell ref="A31:E31"/>
    <mergeCell ref="A9:E9"/>
    <mergeCell ref="A27:E27"/>
  </mergeCells>
  <dataValidations count="3">
    <dataValidation sqref="B6" showDropDown="0" showInputMessage="0" showErrorMessage="0" allowBlank="1" type="list">
      <formula1>"Diabetes,Chronic Kidney Disease,Annual Wellness Visit,High RAF Patient,Random Selection"</formula1>
    </dataValidation>
    <dataValidation sqref="D6" showDropDown="0" showInputMessage="0" showErrorMessage="0" allowBlank="1" type="list">
      <formula1>"Medicare Advantage,Commercial,Medicaid,Dual"</formula1>
    </dataValidation>
    <dataValidation sqref="C10:C34" showDropDown="0" showInputMessage="0" showErrorMessage="0" allowBlank="1" type="list">
      <formula1>"✓ Met,△ Partial,✗ Not Met,N/A"</formula1>
    </dataValidation>
  </dataValidations>
  <printOptions horizontalCentered="1"/>
  <pageMargins left="0.3" right="0.3" top="0.4" bottom="0.4" header="0.5" footer="0.5"/>
  <pageSetup orientation="portrait" paperSize="1" fitToHeight="1" fitToWidth="1"/>
</worksheet>
</file>

<file path=xl/worksheets/sheet5.xml><?xml version="1.0" encoding="utf-8"?>
<worksheet xmlns="http://schemas.openxmlformats.org/spreadsheetml/2006/main">
  <sheetPr>
    <tabColor rgb="001E7A6E"/>
    <outlinePr summaryBelow="1" summaryRight="1"/>
    <pageSetUpPr fitToPage="1"/>
  </sheetPr>
  <dimension ref="A1:I52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  <col width="10" customWidth="1" min="4" max="4"/>
    <col width="42" customWidth="1" min="5" max="5"/>
  </cols>
  <sheetData>
    <row r="1" ht="42" customHeight="1">
      <c r="A1" s="25" t="inlineStr">
        <is>
          <t>Clinical Documentation Audit</t>
        </is>
      </c>
    </row>
    <row r="2" ht="26" customHeight="1">
      <c r="A2" s="26" t="inlineStr">
        <is>
          <t>One chart per sheet · tick each item · scoring &amp; rating are automatic</t>
        </is>
      </c>
    </row>
    <row r="3" ht="8" customHeight="1"/>
    <row r="4" ht="28" customHeight="1">
      <c r="A4" s="27" t="inlineStr">
        <is>
          <t>Provider:</t>
        </is>
      </c>
      <c r="B4" s="4" t="n"/>
      <c r="C4" s="27" t="inlineStr">
        <is>
          <t>Date of Service:</t>
        </is>
      </c>
      <c r="D4" s="4" t="n"/>
      <c r="E4" s="28" t="inlineStr">
        <is>
          <t>How to audit a claim
1. Click a Claim 01–10 tab (bottom of the workbook)
2. Fill yellow header + ratings — auto-scores
3. Move to the next Claim tab · repeat
Global metrics roll up automatically
• Open the Provider Metrics tab — it pulls the 10 claim scores
  live from the Claim tabs so you see the running provider average.
Start a new provider (after 10 claims)
1. Ctrl+click Claim 01 through Claim 10 to group them
2. Select the yellow header + rating + note cells on any tab
3. Press Delete → all 10 tabs clear at once
4. Right-click any tab → Ungroup Sheets</t>
        </is>
      </c>
    </row>
    <row r="5" ht="26" customHeight="1">
      <c r="A5" s="27" t="inlineStr">
        <is>
          <t>Claim Number:</t>
        </is>
      </c>
      <c r="B5" s="110" t="n"/>
      <c r="C5" s="27" t="inlineStr">
        <is>
          <t>Auditor:</t>
        </is>
      </c>
      <c r="D5" s="4" t="n"/>
      <c r="E5" s="51" t="n"/>
    </row>
    <row r="6" ht="28" customHeight="1">
      <c r="A6" s="27" t="inlineStr">
        <is>
          <t>Category:</t>
        </is>
      </c>
      <c r="B6" s="4" t="n"/>
      <c r="C6" s="27" t="inlineStr">
        <is>
          <t>Payer:</t>
        </is>
      </c>
      <c r="D6" s="4" t="n"/>
      <c r="E6" s="52" t="n"/>
    </row>
    <row r="7" ht="26" customHeight="1">
      <c r="A7" s="27" t="inlineStr">
        <is>
          <t>Date of audit:</t>
        </is>
      </c>
      <c r="B7" s="109" t="n"/>
    </row>
    <row r="8" ht="32" customHeight="1">
      <c r="A8" s="29" t="inlineStr">
        <is>
          <t>§</t>
        </is>
      </c>
      <c r="B8" s="29" t="inlineStr">
        <is>
          <t>Documentation element</t>
        </is>
      </c>
      <c r="C8" s="29" t="n"/>
      <c r="D8" s="29" t="inlineStr">
        <is>
          <t>Pts</t>
        </is>
      </c>
      <c r="E8" s="29" t="n"/>
    </row>
    <row r="9" ht="30" customHeight="1">
      <c r="A9" s="30" t="inlineStr">
        <is>
          <t xml:space="preserve">  A · Diagnosis Accuracy   (4 items)</t>
        </is>
      </c>
    </row>
    <row r="10" ht="40" customHeight="1">
      <c r="A10" s="31" t="inlineStr">
        <is>
          <t>A1</t>
        </is>
      </c>
      <c r="B10" s="10" t="inlineStr">
        <is>
          <t>All reported diagnoses are clinically supported in the note</t>
        </is>
      </c>
      <c r="C10" s="32" t="n"/>
      <c r="D10" s="33">
        <f>IF(C10="✓ Met",1,IF(C10="△ Partial",0.5,IF(C10="✗ Not Met",0,IF(C10="N/A","",""))))</f>
        <v/>
      </c>
      <c r="E10" s="10" t="n"/>
    </row>
    <row r="11" ht="40" customHeight="1">
      <c r="A11" s="31" t="inlineStr">
        <is>
          <t>A2</t>
        </is>
      </c>
      <c r="B11" s="10" t="inlineStr">
        <is>
          <t>Chronic conditions actively addressed at this visit (not just carried forward)</t>
        </is>
      </c>
      <c r="C11" s="32" t="n"/>
      <c r="D11" s="33">
        <f>IF(C11="✓ Met",1,IF(C11="△ Partial",0.5,IF(C11="✗ Not Met",0,IF(C11="N/A","",""))))</f>
        <v/>
      </c>
      <c r="E11" s="10" t="n"/>
    </row>
    <row r="12" ht="40" customHeight="1">
      <c r="A12" s="31" t="inlineStr">
        <is>
          <t>A3</t>
        </is>
      </c>
      <c r="B12" s="10" t="inlineStr">
        <is>
          <t>No unsupported or resolved conditions billed as active</t>
        </is>
      </c>
      <c r="C12" s="32" t="n"/>
      <c r="D12" s="33">
        <f>IF(C12="✓ Met",1,IF(C12="△ Partial",0.5,IF(C12="✗ Not Met",0,IF(C12="N/A","",""))))</f>
        <v/>
      </c>
      <c r="E12" s="10" t="n"/>
    </row>
    <row r="13" ht="40" customHeight="1">
      <c r="A13" s="31" t="inlineStr">
        <is>
          <t>A4</t>
        </is>
      </c>
      <c r="B13" s="10" t="inlineStr">
        <is>
          <t>Problem list matches today's assessment &amp; plan</t>
        </is>
      </c>
      <c r="C13" s="32" t="n"/>
      <c r="D13" s="33">
        <f>IF(C13="✓ Met",1,IF(C13="△ Partial",0.5,IF(C13="✗ Not Met",0,IF(C13="N/A","",""))))</f>
        <v/>
      </c>
      <c r="E13" s="10" t="n"/>
    </row>
    <row r="14" ht="6" customHeight="1"/>
    <row r="15" ht="30" customHeight="1">
      <c r="A15" s="30" t="inlineStr">
        <is>
          <t xml:space="preserve">  B · Documentation Specificity   (4 items)</t>
        </is>
      </c>
    </row>
    <row r="16" ht="40" customHeight="1">
      <c r="A16" s="31" t="inlineStr">
        <is>
          <t>B1</t>
        </is>
      </c>
      <c r="B16" s="10" t="inlineStr">
        <is>
          <t>ICD-10 codes at highest available specificity (avoid 'unspecified')</t>
        </is>
      </c>
      <c r="C16" s="32" t="n"/>
      <c r="D16" s="33">
        <f>IF(C16="✓ Met",1,IF(C16="△ Partial",0.5,IF(C16="✗ Not Met",0,IF(C16="N/A","",""))))</f>
        <v/>
      </c>
      <c r="E16" s="10" t="n"/>
    </row>
    <row r="17" ht="40" customHeight="1">
      <c r="A17" s="31" t="inlineStr">
        <is>
          <t>B2</t>
        </is>
      </c>
      <c r="B17" s="10" t="inlineStr">
        <is>
          <t>Diabetes: type + complications + control specified</t>
        </is>
      </c>
      <c r="C17" s="32" t="n"/>
      <c r="D17" s="33">
        <f>IF(C17="✓ Met",1,IF(C17="△ Partial",0.5,IF(C17="✗ Not Met",0,IF(C17="N/A","",""))))</f>
        <v/>
      </c>
      <c r="E17" s="10" t="n"/>
    </row>
    <row r="18" ht="40" customHeight="1">
      <c r="A18" s="31" t="inlineStr">
        <is>
          <t>B3</t>
        </is>
      </c>
      <c r="B18" s="10" t="inlineStr">
        <is>
          <t>S / O / A / P sections tell one consistent clinical story</t>
        </is>
      </c>
      <c r="C18" s="32" t="n"/>
      <c r="D18" s="33">
        <f>IF(C18="✓ Met",1,IF(C18="△ Partial",0.5,IF(C18="✗ Not Met",0,IF(C18="N/A","",""))))</f>
        <v/>
      </c>
      <c r="E18" s="10" t="n"/>
    </row>
    <row r="19" ht="40" customHeight="1">
      <c r="A19" s="31" t="inlineStr">
        <is>
          <t>B4</t>
        </is>
      </c>
      <c r="B19" s="10" t="inlineStr">
        <is>
          <t>Note signed, dated, and closed by the rendering provider</t>
        </is>
      </c>
      <c r="C19" s="32" t="n"/>
      <c r="D19" s="33">
        <f>IF(C19="✓ Met",1,IF(C19="△ Partial",0.5,IF(C19="✗ Not Met",0,IF(C19="N/A","",""))))</f>
        <v/>
      </c>
      <c r="E19" s="10" t="n"/>
    </row>
    <row r="20" ht="6" customHeight="1"/>
    <row r="21" ht="30" customHeight="1">
      <c r="A21" s="30" t="inlineStr">
        <is>
          <t xml:space="preserve">  C · SOAP Note Structure   (4 items)</t>
        </is>
      </c>
    </row>
    <row r="22" ht="40" customHeight="1">
      <c r="A22" s="31" t="inlineStr">
        <is>
          <t>C1</t>
        </is>
      </c>
      <c r="B22" s="10" t="inlineStr">
        <is>
          <t>Subjective — patient's history, symptoms, and concerns clearly documented</t>
        </is>
      </c>
      <c r="C22" s="32" t="n"/>
      <c r="D22" s="33">
        <f>IF(C22="✓ Met",1,IF(C22="△ Partial",0.5,IF(C22="✗ Not Met",0,IF(C22="N/A","",""))))</f>
        <v/>
      </c>
      <c r="E22" s="10" t="n"/>
    </row>
    <row r="23" ht="40" customHeight="1">
      <c r="A23" s="31" t="inlineStr">
        <is>
          <t>C2</t>
        </is>
      </c>
      <c r="B23" s="10" t="inlineStr">
        <is>
          <t>Objective — exam findings, vitals, and relevant test results documented</t>
        </is>
      </c>
      <c r="C23" s="32" t="n"/>
      <c r="D23" s="33">
        <f>IF(C23="✓ Met",1,IF(C23="△ Partial",0.5,IF(C23="✗ Not Met",0,IF(C23="N/A","",""))))</f>
        <v/>
      </c>
      <c r="E23" s="10" t="n"/>
    </row>
    <row r="24" ht="40" customHeight="1">
      <c r="A24" s="31" t="inlineStr">
        <is>
          <t>C3</t>
        </is>
      </c>
      <c r="B24" s="10" t="inlineStr">
        <is>
          <t>Assessment — each diagnosis explicitly assessed with clinical reasoning</t>
        </is>
      </c>
      <c r="C24" s="32" t="n"/>
      <c r="D24" s="33">
        <f>IF(C24="✓ Met",1,IF(C24="△ Partial",0.5,IF(C24="✗ Not Met",0,IF(C24="N/A","",""))))</f>
        <v/>
      </c>
      <c r="E24" s="10" t="n"/>
    </row>
    <row r="25" ht="40" customHeight="1">
      <c r="A25" s="31" t="inlineStr">
        <is>
          <t>C4</t>
        </is>
      </c>
      <c r="B25" s="10" t="inlineStr">
        <is>
          <t>Plan — treatment plan documented (medication / referral / testing / follow-up)</t>
        </is>
      </c>
      <c r="C25" s="32" t="n"/>
      <c r="D25" s="33">
        <f>IF(C25="✓ Met",1,IF(C25="△ Partial",0.5,IF(C25="✗ Not Met",0,IF(C25="N/A","",""))))</f>
        <v/>
      </c>
      <c r="E25" s="10" t="n"/>
    </row>
    <row r="26" ht="6" customHeight="1"/>
    <row r="27" ht="30" customHeight="1">
      <c r="A27" s="30" t="inlineStr">
        <is>
          <t xml:space="preserve">  D · HCC Capture   (2 items)</t>
        </is>
      </c>
    </row>
    <row r="28" ht="40" customHeight="1">
      <c r="A28" s="31" t="inlineStr">
        <is>
          <t>D1</t>
        </is>
      </c>
      <c r="B28" s="10" t="inlineStr">
        <is>
          <t>Prior-year HCCs recaptured (or explicitly resolved with rationale)</t>
        </is>
      </c>
      <c r="C28" s="32" t="n"/>
      <c r="D28" s="33">
        <f>IF(C28="✓ Met",1,IF(C28="△ Partial",0.5,IF(C28="✗ Not Met",0,IF(C28="N/A","",""))))</f>
        <v/>
      </c>
      <c r="E28" s="10" t="n"/>
    </row>
    <row r="29" ht="40" customHeight="1">
      <c r="A29" s="31" t="inlineStr">
        <is>
          <t>D2</t>
        </is>
      </c>
      <c r="B29" s="10" t="inlineStr">
        <is>
          <t>Suspected undocumented chronic conditions captured with support</t>
        </is>
      </c>
      <c r="C29" s="32" t="n"/>
      <c r="D29" s="33">
        <f>IF(C29="✓ Met",1,IF(C29="△ Partial",0.5,IF(C29="✗ Not Met",0,IF(C29="N/A","",""))))</f>
        <v/>
      </c>
      <c r="E29" s="10" t="n"/>
    </row>
    <row r="30" ht="6" customHeight="1"/>
    <row r="31" ht="30" customHeight="1">
      <c r="A31" s="30" t="inlineStr">
        <is>
          <t xml:space="preserve">  E · Documentation Supporting Quality Measures   (2 items)</t>
        </is>
      </c>
    </row>
    <row r="32" ht="40" customHeight="1">
      <c r="A32" s="31" t="inlineStr">
        <is>
          <t>E1</t>
        </is>
      </c>
      <c r="B32" s="10" t="inlineStr">
        <is>
          <t>Screening / measure results documented with specific values (PHQ-9, GAD-7, BMI, BP, HbA1c) — not just 'screened' or 'normal'</t>
        </is>
      </c>
      <c r="C32" s="32" t="n"/>
      <c r="D32" s="33">
        <f>IF(C32="✓ Met",1,IF(C32="△ Partial",0.5,IF(C32="✗ Not Met",0,IF(C32="N/A","",""))))</f>
        <v/>
      </c>
      <c r="E32" s="10" t="n"/>
    </row>
    <row r="33" ht="40" customHeight="1">
      <c r="A33" s="31" t="inlineStr">
        <is>
          <t>E2</t>
        </is>
      </c>
      <c r="B33" s="10" t="inlineStr">
        <is>
          <t>Follow-up plan documented when a screening is positive or a result is abnormal (positive PHQ-9 → depression plan; elevated BMI → nutrition counseling)</t>
        </is>
      </c>
      <c r="C33" s="32" t="n"/>
      <c r="D33" s="33">
        <f>IF(C33="✓ Met",1,IF(C33="△ Partial",0.5,IF(C33="✗ Not Met",0,IF(C33="N/A","",""))))</f>
        <v/>
      </c>
      <c r="E33" s="10" t="n"/>
    </row>
    <row r="34" ht="6" customHeight="1"/>
    <row r="36" ht="30" customHeight="1">
      <c r="A36" s="34" t="inlineStr">
        <is>
          <t xml:space="preserve">  SUMMARY</t>
        </is>
      </c>
    </row>
    <row r="37" ht="24" customHeight="1">
      <c r="A37" s="6" t="inlineStr">
        <is>
          <t>§</t>
        </is>
      </c>
      <c r="B37" s="6" t="inlineStr">
        <is>
          <t>Category</t>
        </is>
      </c>
      <c r="C37" s="6" t="n"/>
      <c r="D37" s="6" t="inlineStr">
        <is>
          <t>% Met</t>
        </is>
      </c>
      <c r="E37" s="6" t="inlineStr"/>
    </row>
    <row r="38" ht="24" customHeight="1">
      <c r="A38" s="35" t="inlineStr">
        <is>
          <t>A</t>
        </is>
      </c>
      <c r="B38" s="11" t="inlineStr">
        <is>
          <t>Diagnosis Accuracy</t>
        </is>
      </c>
      <c r="C38" s="36">
        <f>COUNTIF(C10:C13,"✓ Met")+COUNTIF(C10:C13,"△ Partial")+COUNTIF(C10:C13,"✗ Not Met")</f>
        <v/>
      </c>
      <c r="D38" s="37">
        <f>IFERROR(SUM(D10:D13)/C38,"")</f>
        <v/>
      </c>
      <c r="E38" s="14" t="inlineStr"/>
    </row>
    <row r="39" ht="24" customHeight="1">
      <c r="A39" s="35" t="inlineStr">
        <is>
          <t>B</t>
        </is>
      </c>
      <c r="B39" s="11" t="inlineStr">
        <is>
          <t>Documentation Specificity</t>
        </is>
      </c>
      <c r="C39" s="36">
        <f>COUNTIF(C16:C19,"✓ Met")+COUNTIF(C16:C19,"△ Partial")+COUNTIF(C16:C19,"✗ Not Met")</f>
        <v/>
      </c>
      <c r="D39" s="37">
        <f>IFERROR(SUM(D16:D19)/C39,"")</f>
        <v/>
      </c>
      <c r="E39" s="14" t="inlineStr"/>
    </row>
    <row r="40" ht="24" customHeight="1">
      <c r="A40" s="35" t="inlineStr">
        <is>
          <t>C</t>
        </is>
      </c>
      <c r="B40" s="11" t="inlineStr">
        <is>
          <t>SOAP Note Structure</t>
        </is>
      </c>
      <c r="C40" s="36">
        <f>COUNTIF(C22:C25,"✓ Met")+COUNTIF(C22:C25,"△ Partial")+COUNTIF(C22:C25,"✗ Not Met")</f>
        <v/>
      </c>
      <c r="D40" s="37">
        <f>IFERROR(SUM(D22:D25)/C40,"")</f>
        <v/>
      </c>
      <c r="E40" s="14" t="inlineStr"/>
    </row>
    <row r="41" ht="24" customHeight="1">
      <c r="A41" s="35" t="inlineStr">
        <is>
          <t>D</t>
        </is>
      </c>
      <c r="B41" s="11" t="inlineStr">
        <is>
          <t>HCC Capture</t>
        </is>
      </c>
      <c r="C41" s="36">
        <f>COUNTIF(C28:C29,"✓ Met")+COUNTIF(C28:C29,"△ Partial")+COUNTIF(C28:C29,"✗ Not Met")</f>
        <v/>
      </c>
      <c r="D41" s="37">
        <f>IFERROR(SUM(D28:D29)/C41,"")</f>
        <v/>
      </c>
      <c r="E41" s="14" t="inlineStr"/>
    </row>
    <row r="42" ht="24" customHeight="1">
      <c r="A42" s="35" t="inlineStr">
        <is>
          <t>E</t>
        </is>
      </c>
      <c r="B42" s="11" t="inlineStr">
        <is>
          <t>Documentation Supporting Quality Measures</t>
        </is>
      </c>
      <c r="C42" s="36">
        <f>COUNTIF(C32:C33,"✓ Met")+COUNTIF(C32:C33,"△ Partial")+COUNTIF(C32:C33,"✗ Not Met")</f>
        <v/>
      </c>
      <c r="D42" s="37">
        <f>IFERROR(SUM(D32:D33)/C42,"")</f>
        <v/>
      </c>
      <c r="E42" s="14" t="inlineStr"/>
    </row>
    <row r="44" ht="44" customHeight="1">
      <c r="A44" s="38" t="inlineStr">
        <is>
          <t xml:space="preserve">  OVERALL COMPLIANCE</t>
        </is>
      </c>
      <c r="D44" s="39">
        <f>IFERROR(SUMPRODUCT(D38:D42,C38:C42)/SUM(C38:C42),"")</f>
        <v/>
      </c>
      <c r="E44" s="17" t="n"/>
    </row>
    <row r="45" ht="32" customHeight="1">
      <c r="A45" s="40" t="inlineStr">
        <is>
          <t xml:space="preserve">  PERFORMANCE BAND</t>
        </is>
      </c>
      <c r="B45" s="53" t="n"/>
      <c r="C45" s="54" t="n"/>
      <c r="D45" s="18">
        <f>IF(D44="","",IF(D44&gt;=0.95,"Excellent",IF(D44&gt;=0.90,"Meets Expectations",IF(D44&gt;=0.80,"Needs Improvement","Corrective Education Required"))))</f>
        <v/>
      </c>
      <c r="E45" s="14" t="n"/>
    </row>
    <row r="46" ht="28" customHeight="1">
      <c r="A46" s="62" t="n"/>
      <c r="B46" s="62" t="n"/>
      <c r="C46" s="62" t="n"/>
      <c r="D46" s="62" t="n"/>
      <c r="E46" s="62" t="n"/>
      <c r="F46" s="62" t="n"/>
      <c r="G46" s="62" t="n"/>
      <c r="H46" s="62" t="n"/>
      <c r="I46" s="62" t="n"/>
    </row>
    <row r="47" ht="30" customHeight="1">
      <c r="A47" s="62" t="n"/>
      <c r="B47" s="62" t="n"/>
      <c r="C47" s="62" t="n"/>
      <c r="D47" s="62" t="n"/>
      <c r="E47" s="62" t="n"/>
      <c r="F47" s="62" t="n"/>
      <c r="G47" s="62" t="n"/>
      <c r="H47" s="62" t="n"/>
      <c r="I47" s="62" t="n"/>
    </row>
    <row r="48">
      <c r="A48" s="62" t="n"/>
      <c r="B48" s="62" t="n"/>
      <c r="C48" s="62" t="n"/>
      <c r="D48" s="62" t="n"/>
      <c r="E48" s="62" t="n"/>
      <c r="F48" s="62" t="n"/>
      <c r="G48" s="62" t="n"/>
      <c r="H48" s="62" t="n"/>
      <c r="I48" s="62" t="n"/>
    </row>
    <row r="49" ht="26" customHeight="1">
      <c r="A49" s="62" t="n"/>
      <c r="B49" s="62" t="n"/>
      <c r="C49" s="62" t="n"/>
      <c r="D49" s="62" t="n"/>
      <c r="E49" s="62" t="n"/>
      <c r="F49" s="62" t="n"/>
      <c r="G49" s="62" t="n"/>
      <c r="H49" s="62" t="n"/>
      <c r="I49" s="62" t="n"/>
    </row>
    <row r="50">
      <c r="A50" s="62" t="n"/>
      <c r="B50" s="62" t="n"/>
      <c r="C50" s="62" t="n"/>
      <c r="D50" s="62" t="n"/>
      <c r="E50" s="62" t="n"/>
      <c r="F50" s="62" t="n"/>
      <c r="G50" s="62" t="n"/>
      <c r="H50" s="62" t="n"/>
      <c r="I50" s="62" t="n"/>
    </row>
    <row r="51" ht="28" customHeight="1">
      <c r="A51" s="62" t="n"/>
      <c r="B51" s="62" t="n"/>
      <c r="C51" s="62" t="n"/>
      <c r="D51" s="62" t="n"/>
      <c r="E51" s="62" t="n"/>
      <c r="F51" s="62" t="n"/>
      <c r="G51" s="62" t="n"/>
      <c r="H51" s="62" t="n"/>
      <c r="I51" s="62" t="n"/>
    </row>
    <row r="52" ht="30" customHeight="1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</row>
  </sheetData>
  <mergeCells count="11">
    <mergeCell ref="A21:E21"/>
    <mergeCell ref="A44:C44"/>
    <mergeCell ref="A2:E2"/>
    <mergeCell ref="A45:C45"/>
    <mergeCell ref="A15:E15"/>
    <mergeCell ref="E4:E6"/>
    <mergeCell ref="A1:E1"/>
    <mergeCell ref="A36:E36"/>
    <mergeCell ref="A31:E31"/>
    <mergeCell ref="A9:E9"/>
    <mergeCell ref="A27:E27"/>
  </mergeCells>
  <dataValidations count="3">
    <dataValidation sqref="B6" showDropDown="0" showInputMessage="0" showErrorMessage="0" allowBlank="1" type="list">
      <formula1>"Diabetes,Chronic Kidney Disease,Annual Wellness Visit,High RAF Patient,Random Selection"</formula1>
    </dataValidation>
    <dataValidation sqref="D6" showDropDown="0" showInputMessage="0" showErrorMessage="0" allowBlank="1" type="list">
      <formula1>"Medicare Advantage,Commercial,Medicaid,Dual"</formula1>
    </dataValidation>
    <dataValidation sqref="C10:C34" showDropDown="0" showInputMessage="0" showErrorMessage="0" allowBlank="1" type="list">
      <formula1>"✓ Met,△ Partial,✗ Not Met,N/A"</formula1>
    </dataValidation>
  </dataValidations>
  <printOptions horizontalCentered="1"/>
  <pageMargins left="0.3" right="0.3" top="0.4" bottom="0.4" header="0.5" footer="0.5"/>
  <pageSetup orientation="portrait" paperSize="1" fitToHeight="1" fitToWidth="1"/>
</worksheet>
</file>

<file path=xl/worksheets/sheet6.xml><?xml version="1.0" encoding="utf-8"?>
<worksheet xmlns="http://schemas.openxmlformats.org/spreadsheetml/2006/main">
  <sheetPr>
    <tabColor rgb="001E7A6E"/>
    <outlinePr summaryBelow="1" summaryRight="1"/>
    <pageSetUpPr fitToPage="1"/>
  </sheetPr>
  <dimension ref="A1:I52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  <col width="10" customWidth="1" min="4" max="4"/>
    <col width="42" customWidth="1" min="5" max="5"/>
  </cols>
  <sheetData>
    <row r="1" ht="42" customHeight="1">
      <c r="A1" s="25" t="inlineStr">
        <is>
          <t>Clinical Documentation Audit</t>
        </is>
      </c>
    </row>
    <row r="2" ht="26" customHeight="1">
      <c r="A2" s="26" t="inlineStr">
        <is>
          <t>One chart per sheet · tick each item · scoring &amp; rating are automatic</t>
        </is>
      </c>
    </row>
    <row r="3" ht="8" customHeight="1"/>
    <row r="4" ht="28" customHeight="1">
      <c r="A4" s="27" t="inlineStr">
        <is>
          <t>Provider:</t>
        </is>
      </c>
      <c r="B4" s="4" t="n"/>
      <c r="C4" s="27" t="inlineStr">
        <is>
          <t>Date of Service:</t>
        </is>
      </c>
      <c r="D4" s="4" t="n"/>
      <c r="E4" s="28" t="inlineStr">
        <is>
          <t>How to audit a claim
1. Click a Claim 01–10 tab (bottom of the workbook)
2. Fill yellow header + ratings — auto-scores
3. Move to the next Claim tab · repeat
Global metrics roll up automatically
• Open the Provider Metrics tab — it pulls the 10 claim scores
  live from the Claim tabs so you see the running provider average.
Start a new provider (after 10 claims)
1. Ctrl+click Claim 01 through Claim 10 to group them
2. Select the yellow header + rating + note cells on any tab
3. Press Delete → all 10 tabs clear at once
4. Right-click any tab → Ungroup Sheets</t>
        </is>
      </c>
    </row>
    <row r="5" ht="26" customHeight="1">
      <c r="A5" s="27" t="inlineStr">
        <is>
          <t>Claim Number:</t>
        </is>
      </c>
      <c r="B5" s="110" t="n"/>
      <c r="C5" s="27" t="inlineStr">
        <is>
          <t>Auditor:</t>
        </is>
      </c>
      <c r="D5" s="4" t="n"/>
      <c r="E5" s="51" t="n"/>
    </row>
    <row r="6" ht="28" customHeight="1">
      <c r="A6" s="27" t="inlineStr">
        <is>
          <t>Category:</t>
        </is>
      </c>
      <c r="B6" s="4" t="n"/>
      <c r="C6" s="27" t="inlineStr">
        <is>
          <t>Payer:</t>
        </is>
      </c>
      <c r="D6" s="4" t="n"/>
      <c r="E6" s="52" t="n"/>
    </row>
    <row r="7" ht="26" customHeight="1">
      <c r="A7" s="27" t="inlineStr">
        <is>
          <t>Date of audit:</t>
        </is>
      </c>
      <c r="B7" s="109" t="n"/>
    </row>
    <row r="8" ht="32" customHeight="1">
      <c r="A8" s="29" t="inlineStr">
        <is>
          <t>§</t>
        </is>
      </c>
      <c r="B8" s="29" t="inlineStr">
        <is>
          <t>Documentation element</t>
        </is>
      </c>
      <c r="C8" s="29" t="n"/>
      <c r="D8" s="29" t="inlineStr">
        <is>
          <t>Pts</t>
        </is>
      </c>
      <c r="E8" s="29" t="n"/>
    </row>
    <row r="9" ht="30" customHeight="1">
      <c r="A9" s="30" t="inlineStr">
        <is>
          <t xml:space="preserve">  A · Diagnosis Accuracy   (4 items)</t>
        </is>
      </c>
    </row>
    <row r="10" ht="40" customHeight="1">
      <c r="A10" s="31" t="inlineStr">
        <is>
          <t>A1</t>
        </is>
      </c>
      <c r="B10" s="10" t="inlineStr">
        <is>
          <t>All reported diagnoses are clinically supported in the note</t>
        </is>
      </c>
      <c r="C10" s="32" t="n"/>
      <c r="D10" s="33">
        <f>IF(C10="✓ Met",1,IF(C10="△ Partial",0.5,IF(C10="✗ Not Met",0,IF(C10="N/A","",""))))</f>
        <v/>
      </c>
      <c r="E10" s="10" t="n"/>
    </row>
    <row r="11" ht="40" customHeight="1">
      <c r="A11" s="31" t="inlineStr">
        <is>
          <t>A2</t>
        </is>
      </c>
      <c r="B11" s="10" t="inlineStr">
        <is>
          <t>Chronic conditions actively addressed at this visit (not just carried forward)</t>
        </is>
      </c>
      <c r="C11" s="32" t="n"/>
      <c r="D11" s="33">
        <f>IF(C11="✓ Met",1,IF(C11="△ Partial",0.5,IF(C11="✗ Not Met",0,IF(C11="N/A","",""))))</f>
        <v/>
      </c>
      <c r="E11" s="10" t="n"/>
    </row>
    <row r="12" ht="40" customHeight="1">
      <c r="A12" s="31" t="inlineStr">
        <is>
          <t>A3</t>
        </is>
      </c>
      <c r="B12" s="10" t="inlineStr">
        <is>
          <t>No unsupported or resolved conditions billed as active</t>
        </is>
      </c>
      <c r="C12" s="32" t="n"/>
      <c r="D12" s="33">
        <f>IF(C12="✓ Met",1,IF(C12="△ Partial",0.5,IF(C12="✗ Not Met",0,IF(C12="N/A","",""))))</f>
        <v/>
      </c>
      <c r="E12" s="10" t="n"/>
    </row>
    <row r="13" ht="40" customHeight="1">
      <c r="A13" s="31" t="inlineStr">
        <is>
          <t>A4</t>
        </is>
      </c>
      <c r="B13" s="10" t="inlineStr">
        <is>
          <t>Problem list matches today's assessment &amp; plan</t>
        </is>
      </c>
      <c r="C13" s="32" t="n"/>
      <c r="D13" s="33">
        <f>IF(C13="✓ Met",1,IF(C13="△ Partial",0.5,IF(C13="✗ Not Met",0,IF(C13="N/A","",""))))</f>
        <v/>
      </c>
      <c r="E13" s="10" t="n"/>
    </row>
    <row r="14" ht="6" customHeight="1"/>
    <row r="15" ht="30" customHeight="1">
      <c r="A15" s="30" t="inlineStr">
        <is>
          <t xml:space="preserve">  B · Documentation Specificity   (4 items)</t>
        </is>
      </c>
    </row>
    <row r="16" ht="40" customHeight="1">
      <c r="A16" s="31" t="inlineStr">
        <is>
          <t>B1</t>
        </is>
      </c>
      <c r="B16" s="10" t="inlineStr">
        <is>
          <t>ICD-10 codes at highest available specificity (avoid 'unspecified')</t>
        </is>
      </c>
      <c r="C16" s="32" t="n"/>
      <c r="D16" s="33">
        <f>IF(C16="✓ Met",1,IF(C16="△ Partial",0.5,IF(C16="✗ Not Met",0,IF(C16="N/A","",""))))</f>
        <v/>
      </c>
      <c r="E16" s="10" t="n"/>
    </row>
    <row r="17" ht="40" customHeight="1">
      <c r="A17" s="31" t="inlineStr">
        <is>
          <t>B2</t>
        </is>
      </c>
      <c r="B17" s="10" t="inlineStr">
        <is>
          <t>Diabetes: type + complications + control specified</t>
        </is>
      </c>
      <c r="C17" s="32" t="n"/>
      <c r="D17" s="33">
        <f>IF(C17="✓ Met",1,IF(C17="△ Partial",0.5,IF(C17="✗ Not Met",0,IF(C17="N/A","",""))))</f>
        <v/>
      </c>
      <c r="E17" s="10" t="n"/>
    </row>
    <row r="18" ht="40" customHeight="1">
      <c r="A18" s="31" t="inlineStr">
        <is>
          <t>B3</t>
        </is>
      </c>
      <c r="B18" s="10" t="inlineStr">
        <is>
          <t>S / O / A / P sections tell one consistent clinical story</t>
        </is>
      </c>
      <c r="C18" s="32" t="n"/>
      <c r="D18" s="33">
        <f>IF(C18="✓ Met",1,IF(C18="△ Partial",0.5,IF(C18="✗ Not Met",0,IF(C18="N/A","",""))))</f>
        <v/>
      </c>
      <c r="E18" s="10" t="n"/>
    </row>
    <row r="19" ht="40" customHeight="1">
      <c r="A19" s="31" t="inlineStr">
        <is>
          <t>B4</t>
        </is>
      </c>
      <c r="B19" s="10" t="inlineStr">
        <is>
          <t>Note signed, dated, and closed by the rendering provider</t>
        </is>
      </c>
      <c r="C19" s="32" t="n"/>
      <c r="D19" s="33">
        <f>IF(C19="✓ Met",1,IF(C19="△ Partial",0.5,IF(C19="✗ Not Met",0,IF(C19="N/A","",""))))</f>
        <v/>
      </c>
      <c r="E19" s="10" t="n"/>
    </row>
    <row r="20" ht="6" customHeight="1"/>
    <row r="21" ht="30" customHeight="1">
      <c r="A21" s="30" t="inlineStr">
        <is>
          <t xml:space="preserve">  C · SOAP Note Structure   (4 items)</t>
        </is>
      </c>
    </row>
    <row r="22" ht="40" customHeight="1">
      <c r="A22" s="31" t="inlineStr">
        <is>
          <t>C1</t>
        </is>
      </c>
      <c r="B22" s="10" t="inlineStr">
        <is>
          <t>Subjective — patient's history, symptoms, and concerns clearly documented</t>
        </is>
      </c>
      <c r="C22" s="32" t="n"/>
      <c r="D22" s="33">
        <f>IF(C22="✓ Met",1,IF(C22="△ Partial",0.5,IF(C22="✗ Not Met",0,IF(C22="N/A","",""))))</f>
        <v/>
      </c>
      <c r="E22" s="10" t="n"/>
    </row>
    <row r="23" ht="40" customHeight="1">
      <c r="A23" s="31" t="inlineStr">
        <is>
          <t>C2</t>
        </is>
      </c>
      <c r="B23" s="10" t="inlineStr">
        <is>
          <t>Objective — exam findings, vitals, and relevant test results documented</t>
        </is>
      </c>
      <c r="C23" s="32" t="n"/>
      <c r="D23" s="33">
        <f>IF(C23="✓ Met",1,IF(C23="△ Partial",0.5,IF(C23="✗ Not Met",0,IF(C23="N/A","",""))))</f>
        <v/>
      </c>
      <c r="E23" s="10" t="n"/>
    </row>
    <row r="24" ht="40" customHeight="1">
      <c r="A24" s="31" t="inlineStr">
        <is>
          <t>C3</t>
        </is>
      </c>
      <c r="B24" s="10" t="inlineStr">
        <is>
          <t>Assessment — each diagnosis explicitly assessed with clinical reasoning</t>
        </is>
      </c>
      <c r="C24" s="32" t="n"/>
      <c r="D24" s="33">
        <f>IF(C24="✓ Met",1,IF(C24="△ Partial",0.5,IF(C24="✗ Not Met",0,IF(C24="N/A","",""))))</f>
        <v/>
      </c>
      <c r="E24" s="10" t="n"/>
    </row>
    <row r="25" ht="40" customHeight="1">
      <c r="A25" s="31" t="inlineStr">
        <is>
          <t>C4</t>
        </is>
      </c>
      <c r="B25" s="10" t="inlineStr">
        <is>
          <t>Plan — treatment plan documented (medication / referral / testing / follow-up)</t>
        </is>
      </c>
      <c r="C25" s="32" t="n"/>
      <c r="D25" s="33">
        <f>IF(C25="✓ Met",1,IF(C25="△ Partial",0.5,IF(C25="✗ Not Met",0,IF(C25="N/A","",""))))</f>
        <v/>
      </c>
      <c r="E25" s="10" t="n"/>
    </row>
    <row r="26" ht="6" customHeight="1"/>
    <row r="27" ht="30" customHeight="1">
      <c r="A27" s="30" t="inlineStr">
        <is>
          <t xml:space="preserve">  D · HCC Capture   (2 items)</t>
        </is>
      </c>
    </row>
    <row r="28" ht="40" customHeight="1">
      <c r="A28" s="31" t="inlineStr">
        <is>
          <t>D1</t>
        </is>
      </c>
      <c r="B28" s="10" t="inlineStr">
        <is>
          <t>Prior-year HCCs recaptured (or explicitly resolved with rationale)</t>
        </is>
      </c>
      <c r="C28" s="32" t="n"/>
      <c r="D28" s="33">
        <f>IF(C28="✓ Met",1,IF(C28="△ Partial",0.5,IF(C28="✗ Not Met",0,IF(C28="N/A","",""))))</f>
        <v/>
      </c>
      <c r="E28" s="10" t="n"/>
    </row>
    <row r="29" ht="40" customHeight="1">
      <c r="A29" s="31" t="inlineStr">
        <is>
          <t>D2</t>
        </is>
      </c>
      <c r="B29" s="10" t="inlineStr">
        <is>
          <t>Suspected undocumented chronic conditions captured with support</t>
        </is>
      </c>
      <c r="C29" s="32" t="n"/>
      <c r="D29" s="33">
        <f>IF(C29="✓ Met",1,IF(C29="△ Partial",0.5,IF(C29="✗ Not Met",0,IF(C29="N/A","",""))))</f>
        <v/>
      </c>
      <c r="E29" s="10" t="n"/>
    </row>
    <row r="30" ht="6" customHeight="1"/>
    <row r="31" ht="30" customHeight="1">
      <c r="A31" s="30" t="inlineStr">
        <is>
          <t xml:space="preserve">  E · Documentation Supporting Quality Measures   (2 items)</t>
        </is>
      </c>
    </row>
    <row r="32" ht="40" customHeight="1">
      <c r="A32" s="31" t="inlineStr">
        <is>
          <t>E1</t>
        </is>
      </c>
      <c r="B32" s="10" t="inlineStr">
        <is>
          <t>Screening / measure results documented with specific values (PHQ-9, GAD-7, BMI, BP, HbA1c) — not just 'screened' or 'normal'</t>
        </is>
      </c>
      <c r="C32" s="32" t="n"/>
      <c r="D32" s="33">
        <f>IF(C32="✓ Met",1,IF(C32="△ Partial",0.5,IF(C32="✗ Not Met",0,IF(C32="N/A","",""))))</f>
        <v/>
      </c>
      <c r="E32" s="10" t="n"/>
    </row>
    <row r="33" ht="40" customHeight="1">
      <c r="A33" s="31" t="inlineStr">
        <is>
          <t>E2</t>
        </is>
      </c>
      <c r="B33" s="10" t="inlineStr">
        <is>
          <t>Follow-up plan documented when a screening is positive or a result is abnormal (positive PHQ-9 → depression plan; elevated BMI → nutrition counseling)</t>
        </is>
      </c>
      <c r="C33" s="32" t="n"/>
      <c r="D33" s="33">
        <f>IF(C33="✓ Met",1,IF(C33="△ Partial",0.5,IF(C33="✗ Not Met",0,IF(C33="N/A","",""))))</f>
        <v/>
      </c>
      <c r="E33" s="10" t="n"/>
    </row>
    <row r="34" ht="6" customHeight="1"/>
    <row r="36" ht="30" customHeight="1">
      <c r="A36" s="34" t="inlineStr">
        <is>
          <t xml:space="preserve">  SUMMARY</t>
        </is>
      </c>
    </row>
    <row r="37" ht="24" customHeight="1">
      <c r="A37" s="6" t="inlineStr">
        <is>
          <t>§</t>
        </is>
      </c>
      <c r="B37" s="6" t="inlineStr">
        <is>
          <t>Category</t>
        </is>
      </c>
      <c r="C37" s="6" t="n"/>
      <c r="D37" s="6" t="inlineStr">
        <is>
          <t>% Met</t>
        </is>
      </c>
      <c r="E37" s="6" t="inlineStr"/>
    </row>
    <row r="38" ht="24" customHeight="1">
      <c r="A38" s="35" t="inlineStr">
        <is>
          <t>A</t>
        </is>
      </c>
      <c r="B38" s="11" t="inlineStr">
        <is>
          <t>Diagnosis Accuracy</t>
        </is>
      </c>
      <c r="C38" s="36">
        <f>COUNTIF(C10:C13,"✓ Met")+COUNTIF(C10:C13,"△ Partial")+COUNTIF(C10:C13,"✗ Not Met")</f>
        <v/>
      </c>
      <c r="D38" s="37">
        <f>IFERROR(SUM(D10:D13)/C38,"")</f>
        <v/>
      </c>
      <c r="E38" s="14" t="inlineStr"/>
    </row>
    <row r="39" ht="24" customHeight="1">
      <c r="A39" s="35" t="inlineStr">
        <is>
          <t>B</t>
        </is>
      </c>
      <c r="B39" s="11" t="inlineStr">
        <is>
          <t>Documentation Specificity</t>
        </is>
      </c>
      <c r="C39" s="36">
        <f>COUNTIF(C16:C19,"✓ Met")+COUNTIF(C16:C19,"△ Partial")+COUNTIF(C16:C19,"✗ Not Met")</f>
        <v/>
      </c>
      <c r="D39" s="37">
        <f>IFERROR(SUM(D16:D19)/C39,"")</f>
        <v/>
      </c>
      <c r="E39" s="14" t="inlineStr"/>
    </row>
    <row r="40" ht="24" customHeight="1">
      <c r="A40" s="35" t="inlineStr">
        <is>
          <t>C</t>
        </is>
      </c>
      <c r="B40" s="11" t="inlineStr">
        <is>
          <t>SOAP Note Structure</t>
        </is>
      </c>
      <c r="C40" s="36">
        <f>COUNTIF(C22:C25,"✓ Met")+COUNTIF(C22:C25,"△ Partial")+COUNTIF(C22:C25,"✗ Not Met")</f>
        <v/>
      </c>
      <c r="D40" s="37">
        <f>IFERROR(SUM(D22:D25)/C40,"")</f>
        <v/>
      </c>
      <c r="E40" s="14" t="inlineStr"/>
    </row>
    <row r="41" ht="24" customHeight="1">
      <c r="A41" s="35" t="inlineStr">
        <is>
          <t>D</t>
        </is>
      </c>
      <c r="B41" s="11" t="inlineStr">
        <is>
          <t>HCC Capture</t>
        </is>
      </c>
      <c r="C41" s="36">
        <f>COUNTIF(C28:C29,"✓ Met")+COUNTIF(C28:C29,"△ Partial")+COUNTIF(C28:C29,"✗ Not Met")</f>
        <v/>
      </c>
      <c r="D41" s="37">
        <f>IFERROR(SUM(D28:D29)/C41,"")</f>
        <v/>
      </c>
      <c r="E41" s="14" t="inlineStr"/>
    </row>
    <row r="42" ht="24" customHeight="1">
      <c r="A42" s="35" t="inlineStr">
        <is>
          <t>E</t>
        </is>
      </c>
      <c r="B42" s="11" t="inlineStr">
        <is>
          <t>Documentation Supporting Quality Measures</t>
        </is>
      </c>
      <c r="C42" s="36">
        <f>COUNTIF(C32:C33,"✓ Met")+COUNTIF(C32:C33,"△ Partial")+COUNTIF(C32:C33,"✗ Not Met")</f>
        <v/>
      </c>
      <c r="D42" s="37">
        <f>IFERROR(SUM(D32:D33)/C42,"")</f>
        <v/>
      </c>
      <c r="E42" s="14" t="inlineStr"/>
    </row>
    <row r="44" ht="44" customHeight="1">
      <c r="A44" s="38" t="inlineStr">
        <is>
          <t xml:space="preserve">  OVERALL COMPLIANCE</t>
        </is>
      </c>
      <c r="D44" s="39">
        <f>IFERROR(SUMPRODUCT(D38:D42,C38:C42)/SUM(C38:C42),"")</f>
        <v/>
      </c>
      <c r="E44" s="17" t="n"/>
    </row>
    <row r="45" ht="32" customHeight="1">
      <c r="A45" s="40" t="inlineStr">
        <is>
          <t xml:space="preserve">  PERFORMANCE BAND</t>
        </is>
      </c>
      <c r="B45" s="53" t="n"/>
      <c r="C45" s="54" t="n"/>
      <c r="D45" s="18">
        <f>IF(D44="","",IF(D44&gt;=0.95,"Excellent",IF(D44&gt;=0.90,"Meets Expectations",IF(D44&gt;=0.80,"Needs Improvement","Corrective Education Required"))))</f>
        <v/>
      </c>
      <c r="E45" s="14" t="n"/>
    </row>
    <row r="46" ht="28" customHeight="1">
      <c r="A46" s="62" t="n"/>
      <c r="B46" s="62" t="n"/>
      <c r="C46" s="62" t="n"/>
      <c r="D46" s="62" t="n"/>
      <c r="E46" s="62" t="n"/>
      <c r="F46" s="62" t="n"/>
      <c r="G46" s="62" t="n"/>
      <c r="H46" s="62" t="n"/>
      <c r="I46" s="62" t="n"/>
    </row>
    <row r="47" ht="30" customHeight="1">
      <c r="A47" s="62" t="n"/>
      <c r="B47" s="62" t="n"/>
      <c r="C47" s="62" t="n"/>
      <c r="D47" s="62" t="n"/>
      <c r="E47" s="62" t="n"/>
      <c r="F47" s="62" t="n"/>
      <c r="G47" s="62" t="n"/>
      <c r="H47" s="62" t="n"/>
      <c r="I47" s="62" t="n"/>
    </row>
    <row r="48">
      <c r="A48" s="62" t="n"/>
      <c r="B48" s="62" t="n"/>
      <c r="C48" s="62" t="n"/>
      <c r="D48" s="62" t="n"/>
      <c r="E48" s="62" t="n"/>
      <c r="F48" s="62" t="n"/>
      <c r="G48" s="62" t="n"/>
      <c r="H48" s="62" t="n"/>
      <c r="I48" s="62" t="n"/>
    </row>
    <row r="49" ht="26" customHeight="1">
      <c r="A49" s="62" t="n"/>
      <c r="B49" s="62" t="n"/>
      <c r="C49" s="62" t="n"/>
      <c r="D49" s="62" t="n"/>
      <c r="E49" s="62" t="n"/>
      <c r="F49" s="62" t="n"/>
      <c r="G49" s="62" t="n"/>
      <c r="H49" s="62" t="n"/>
      <c r="I49" s="62" t="n"/>
    </row>
    <row r="50">
      <c r="A50" s="62" t="n"/>
      <c r="B50" s="62" t="n"/>
      <c r="C50" s="62" t="n"/>
      <c r="D50" s="62" t="n"/>
      <c r="E50" s="62" t="n"/>
      <c r="F50" s="62" t="n"/>
      <c r="G50" s="62" t="n"/>
      <c r="H50" s="62" t="n"/>
      <c r="I50" s="62" t="n"/>
    </row>
    <row r="51" ht="28" customHeight="1">
      <c r="A51" s="62" t="n"/>
      <c r="B51" s="62" t="n"/>
      <c r="C51" s="62" t="n"/>
      <c r="D51" s="62" t="n"/>
      <c r="E51" s="62" t="n"/>
      <c r="F51" s="62" t="n"/>
      <c r="G51" s="62" t="n"/>
      <c r="H51" s="62" t="n"/>
      <c r="I51" s="62" t="n"/>
    </row>
    <row r="52" ht="30" customHeight="1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</row>
  </sheetData>
  <mergeCells count="11">
    <mergeCell ref="A21:E21"/>
    <mergeCell ref="A44:C44"/>
    <mergeCell ref="A2:E2"/>
    <mergeCell ref="A45:C45"/>
    <mergeCell ref="A15:E15"/>
    <mergeCell ref="E4:E6"/>
    <mergeCell ref="A1:E1"/>
    <mergeCell ref="A36:E36"/>
    <mergeCell ref="A31:E31"/>
    <mergeCell ref="A9:E9"/>
    <mergeCell ref="A27:E27"/>
  </mergeCells>
  <dataValidations count="3">
    <dataValidation sqref="B6" showDropDown="0" showInputMessage="0" showErrorMessage="0" allowBlank="1" type="list">
      <formula1>"Diabetes,Chronic Kidney Disease,Annual Wellness Visit,High RAF Patient,Random Selection"</formula1>
    </dataValidation>
    <dataValidation sqref="D6" showDropDown="0" showInputMessage="0" showErrorMessage="0" allowBlank="1" type="list">
      <formula1>"Medicare Advantage,Commercial,Medicaid,Dual"</formula1>
    </dataValidation>
    <dataValidation sqref="C10:C34" showDropDown="0" showInputMessage="0" showErrorMessage="0" allowBlank="1" type="list">
      <formula1>"✓ Met,△ Partial,✗ Not Met,N/A"</formula1>
    </dataValidation>
  </dataValidations>
  <printOptions horizontalCentered="1"/>
  <pageMargins left="0.3" right="0.3" top="0.4" bottom="0.4" header="0.5" footer="0.5"/>
  <pageSetup orientation="portrait" paperSize="1" fitToHeight="1" fitToWidth="1"/>
</worksheet>
</file>

<file path=xl/worksheets/sheet7.xml><?xml version="1.0" encoding="utf-8"?>
<worksheet xmlns="http://schemas.openxmlformats.org/spreadsheetml/2006/main">
  <sheetPr>
    <tabColor rgb="001E7A6E"/>
    <outlinePr summaryBelow="1" summaryRight="1"/>
    <pageSetUpPr fitToPage="1"/>
  </sheetPr>
  <dimension ref="A1:I52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  <col width="10" customWidth="1" min="4" max="4"/>
    <col width="42" customWidth="1" min="5" max="5"/>
  </cols>
  <sheetData>
    <row r="1" ht="42" customHeight="1">
      <c r="A1" s="25" t="inlineStr">
        <is>
          <t>Clinical Documentation Audit</t>
        </is>
      </c>
    </row>
    <row r="2" ht="26" customHeight="1">
      <c r="A2" s="26" t="inlineStr">
        <is>
          <t>One chart per sheet · tick each item · scoring &amp; rating are automatic</t>
        </is>
      </c>
    </row>
    <row r="3" ht="8" customHeight="1"/>
    <row r="4" ht="28" customHeight="1">
      <c r="A4" s="27" t="inlineStr">
        <is>
          <t>Provider:</t>
        </is>
      </c>
      <c r="B4" s="4" t="n"/>
      <c r="C4" s="27" t="inlineStr">
        <is>
          <t>Date of Service:</t>
        </is>
      </c>
      <c r="D4" s="4" t="n"/>
      <c r="E4" s="28" t="inlineStr">
        <is>
          <t>How to audit a claim
1. Click a Claim 01–10 tab (bottom of the workbook)
2. Fill yellow header + ratings — auto-scores
3. Move to the next Claim tab · repeat
Global metrics roll up automatically
• Open the Provider Metrics tab — it pulls the 10 claim scores
  live from the Claim tabs so you see the running provider average.
Start a new provider (after 10 claims)
1. Ctrl+click Claim 01 through Claim 10 to group them
2. Select the yellow header + rating + note cells on any tab
3. Press Delete → all 10 tabs clear at once
4. Right-click any tab → Ungroup Sheets</t>
        </is>
      </c>
    </row>
    <row r="5" ht="26" customHeight="1">
      <c r="A5" s="27" t="inlineStr">
        <is>
          <t>Claim Number:</t>
        </is>
      </c>
      <c r="B5" s="110" t="n"/>
      <c r="C5" s="27" t="inlineStr">
        <is>
          <t>Auditor:</t>
        </is>
      </c>
      <c r="D5" s="4" t="n"/>
      <c r="E5" s="51" t="n"/>
    </row>
    <row r="6" ht="28" customHeight="1">
      <c r="A6" s="27" t="inlineStr">
        <is>
          <t>Category:</t>
        </is>
      </c>
      <c r="B6" s="4" t="n"/>
      <c r="C6" s="27" t="inlineStr">
        <is>
          <t>Payer:</t>
        </is>
      </c>
      <c r="D6" s="4" t="n"/>
      <c r="E6" s="52" t="n"/>
    </row>
    <row r="7" ht="26" customHeight="1">
      <c r="A7" s="27" t="inlineStr">
        <is>
          <t>Date of audit:</t>
        </is>
      </c>
      <c r="B7" s="109" t="n"/>
    </row>
    <row r="8" ht="32" customHeight="1">
      <c r="A8" s="29" t="inlineStr">
        <is>
          <t>§</t>
        </is>
      </c>
      <c r="B8" s="29" t="inlineStr">
        <is>
          <t>Documentation element</t>
        </is>
      </c>
      <c r="C8" s="29" t="n"/>
      <c r="D8" s="29" t="inlineStr">
        <is>
          <t>Pts</t>
        </is>
      </c>
      <c r="E8" s="29" t="n"/>
    </row>
    <row r="9" ht="30" customHeight="1">
      <c r="A9" s="30" t="inlineStr">
        <is>
          <t xml:space="preserve">  A · Diagnosis Accuracy   (4 items)</t>
        </is>
      </c>
    </row>
    <row r="10" ht="40" customHeight="1">
      <c r="A10" s="31" t="inlineStr">
        <is>
          <t>A1</t>
        </is>
      </c>
      <c r="B10" s="10" t="inlineStr">
        <is>
          <t>All reported diagnoses are clinically supported in the note</t>
        </is>
      </c>
      <c r="C10" s="32" t="n"/>
      <c r="D10" s="33">
        <f>IF(C10="✓ Met",1,IF(C10="△ Partial",0.5,IF(C10="✗ Not Met",0,IF(C10="N/A","",""))))</f>
        <v/>
      </c>
      <c r="E10" s="10" t="n"/>
    </row>
    <row r="11" ht="40" customHeight="1">
      <c r="A11" s="31" t="inlineStr">
        <is>
          <t>A2</t>
        </is>
      </c>
      <c r="B11" s="10" t="inlineStr">
        <is>
          <t>Chronic conditions actively addressed at this visit (not just carried forward)</t>
        </is>
      </c>
      <c r="C11" s="32" t="n"/>
      <c r="D11" s="33">
        <f>IF(C11="✓ Met",1,IF(C11="△ Partial",0.5,IF(C11="✗ Not Met",0,IF(C11="N/A","",""))))</f>
        <v/>
      </c>
      <c r="E11" s="10" t="n"/>
    </row>
    <row r="12" ht="40" customHeight="1">
      <c r="A12" s="31" t="inlineStr">
        <is>
          <t>A3</t>
        </is>
      </c>
      <c r="B12" s="10" t="inlineStr">
        <is>
          <t>No unsupported or resolved conditions billed as active</t>
        </is>
      </c>
      <c r="C12" s="32" t="n"/>
      <c r="D12" s="33">
        <f>IF(C12="✓ Met",1,IF(C12="△ Partial",0.5,IF(C12="✗ Not Met",0,IF(C12="N/A","",""))))</f>
        <v/>
      </c>
      <c r="E12" s="10" t="n"/>
    </row>
    <row r="13" ht="40" customHeight="1">
      <c r="A13" s="31" t="inlineStr">
        <is>
          <t>A4</t>
        </is>
      </c>
      <c r="B13" s="10" t="inlineStr">
        <is>
          <t>Problem list matches today's assessment &amp; plan</t>
        </is>
      </c>
      <c r="C13" s="32" t="n"/>
      <c r="D13" s="33">
        <f>IF(C13="✓ Met",1,IF(C13="△ Partial",0.5,IF(C13="✗ Not Met",0,IF(C13="N/A","",""))))</f>
        <v/>
      </c>
      <c r="E13" s="10" t="n"/>
    </row>
    <row r="14" ht="6" customHeight="1"/>
    <row r="15" ht="30" customHeight="1">
      <c r="A15" s="30" t="inlineStr">
        <is>
          <t xml:space="preserve">  B · Documentation Specificity   (4 items)</t>
        </is>
      </c>
    </row>
    <row r="16" ht="40" customHeight="1">
      <c r="A16" s="31" t="inlineStr">
        <is>
          <t>B1</t>
        </is>
      </c>
      <c r="B16" s="10" t="inlineStr">
        <is>
          <t>ICD-10 codes at highest available specificity (avoid 'unspecified')</t>
        </is>
      </c>
      <c r="C16" s="32" t="n"/>
      <c r="D16" s="33">
        <f>IF(C16="✓ Met",1,IF(C16="△ Partial",0.5,IF(C16="✗ Not Met",0,IF(C16="N/A","",""))))</f>
        <v/>
      </c>
      <c r="E16" s="10" t="n"/>
    </row>
    <row r="17" ht="40" customHeight="1">
      <c r="A17" s="31" t="inlineStr">
        <is>
          <t>B2</t>
        </is>
      </c>
      <c r="B17" s="10" t="inlineStr">
        <is>
          <t>Diabetes: type + complications + control specified</t>
        </is>
      </c>
      <c r="C17" s="32" t="n"/>
      <c r="D17" s="33">
        <f>IF(C17="✓ Met",1,IF(C17="△ Partial",0.5,IF(C17="✗ Not Met",0,IF(C17="N/A","",""))))</f>
        <v/>
      </c>
      <c r="E17" s="10" t="n"/>
    </row>
    <row r="18" ht="40" customHeight="1">
      <c r="A18" s="31" t="inlineStr">
        <is>
          <t>B3</t>
        </is>
      </c>
      <c r="B18" s="10" t="inlineStr">
        <is>
          <t>S / O / A / P sections tell one consistent clinical story</t>
        </is>
      </c>
      <c r="C18" s="32" t="n"/>
      <c r="D18" s="33">
        <f>IF(C18="✓ Met",1,IF(C18="△ Partial",0.5,IF(C18="✗ Not Met",0,IF(C18="N/A","",""))))</f>
        <v/>
      </c>
      <c r="E18" s="10" t="n"/>
    </row>
    <row r="19" ht="40" customHeight="1">
      <c r="A19" s="31" t="inlineStr">
        <is>
          <t>B4</t>
        </is>
      </c>
      <c r="B19" s="10" t="inlineStr">
        <is>
          <t>Note signed, dated, and closed by the rendering provider</t>
        </is>
      </c>
      <c r="C19" s="32" t="n"/>
      <c r="D19" s="33">
        <f>IF(C19="✓ Met",1,IF(C19="△ Partial",0.5,IF(C19="✗ Not Met",0,IF(C19="N/A","",""))))</f>
        <v/>
      </c>
      <c r="E19" s="10" t="n"/>
    </row>
    <row r="20" ht="6" customHeight="1"/>
    <row r="21" ht="30" customHeight="1">
      <c r="A21" s="30" t="inlineStr">
        <is>
          <t xml:space="preserve">  C · SOAP Note Structure   (4 items)</t>
        </is>
      </c>
    </row>
    <row r="22" ht="40" customHeight="1">
      <c r="A22" s="31" t="inlineStr">
        <is>
          <t>C1</t>
        </is>
      </c>
      <c r="B22" s="10" t="inlineStr">
        <is>
          <t>Subjective — patient's history, symptoms, and concerns clearly documented</t>
        </is>
      </c>
      <c r="C22" s="32" t="n"/>
      <c r="D22" s="33">
        <f>IF(C22="✓ Met",1,IF(C22="△ Partial",0.5,IF(C22="✗ Not Met",0,IF(C22="N/A","",""))))</f>
        <v/>
      </c>
      <c r="E22" s="10" t="n"/>
    </row>
    <row r="23" ht="40" customHeight="1">
      <c r="A23" s="31" t="inlineStr">
        <is>
          <t>C2</t>
        </is>
      </c>
      <c r="B23" s="10" t="inlineStr">
        <is>
          <t>Objective — exam findings, vitals, and relevant test results documented</t>
        </is>
      </c>
      <c r="C23" s="32" t="n"/>
      <c r="D23" s="33">
        <f>IF(C23="✓ Met",1,IF(C23="△ Partial",0.5,IF(C23="✗ Not Met",0,IF(C23="N/A","",""))))</f>
        <v/>
      </c>
      <c r="E23" s="10" t="n"/>
    </row>
    <row r="24" ht="40" customHeight="1">
      <c r="A24" s="31" t="inlineStr">
        <is>
          <t>C3</t>
        </is>
      </c>
      <c r="B24" s="10" t="inlineStr">
        <is>
          <t>Assessment — each diagnosis explicitly assessed with clinical reasoning</t>
        </is>
      </c>
      <c r="C24" s="32" t="n"/>
      <c r="D24" s="33">
        <f>IF(C24="✓ Met",1,IF(C24="△ Partial",0.5,IF(C24="✗ Not Met",0,IF(C24="N/A","",""))))</f>
        <v/>
      </c>
      <c r="E24" s="10" t="n"/>
    </row>
    <row r="25" ht="40" customHeight="1">
      <c r="A25" s="31" t="inlineStr">
        <is>
          <t>C4</t>
        </is>
      </c>
      <c r="B25" s="10" t="inlineStr">
        <is>
          <t>Plan — treatment plan documented (medication / referral / testing / follow-up)</t>
        </is>
      </c>
      <c r="C25" s="32" t="n"/>
      <c r="D25" s="33">
        <f>IF(C25="✓ Met",1,IF(C25="△ Partial",0.5,IF(C25="✗ Not Met",0,IF(C25="N/A","",""))))</f>
        <v/>
      </c>
      <c r="E25" s="10" t="n"/>
    </row>
    <row r="26" ht="6" customHeight="1"/>
    <row r="27" ht="30" customHeight="1">
      <c r="A27" s="30" t="inlineStr">
        <is>
          <t xml:space="preserve">  D · HCC Capture   (2 items)</t>
        </is>
      </c>
    </row>
    <row r="28" ht="40" customHeight="1">
      <c r="A28" s="31" t="inlineStr">
        <is>
          <t>D1</t>
        </is>
      </c>
      <c r="B28" s="10" t="inlineStr">
        <is>
          <t>Prior-year HCCs recaptured (or explicitly resolved with rationale)</t>
        </is>
      </c>
      <c r="C28" s="32" t="n"/>
      <c r="D28" s="33">
        <f>IF(C28="✓ Met",1,IF(C28="△ Partial",0.5,IF(C28="✗ Not Met",0,IF(C28="N/A","",""))))</f>
        <v/>
      </c>
      <c r="E28" s="10" t="n"/>
    </row>
    <row r="29" ht="40" customHeight="1">
      <c r="A29" s="31" t="inlineStr">
        <is>
          <t>D2</t>
        </is>
      </c>
      <c r="B29" s="10" t="inlineStr">
        <is>
          <t>Suspected undocumented chronic conditions captured with support</t>
        </is>
      </c>
      <c r="C29" s="32" t="n"/>
      <c r="D29" s="33">
        <f>IF(C29="✓ Met",1,IF(C29="△ Partial",0.5,IF(C29="✗ Not Met",0,IF(C29="N/A","",""))))</f>
        <v/>
      </c>
      <c r="E29" s="10" t="n"/>
    </row>
    <row r="30" ht="6" customHeight="1"/>
    <row r="31" ht="30" customHeight="1">
      <c r="A31" s="30" t="inlineStr">
        <is>
          <t xml:space="preserve">  E · Documentation Supporting Quality Measures   (2 items)</t>
        </is>
      </c>
    </row>
    <row r="32" ht="40" customHeight="1">
      <c r="A32" s="31" t="inlineStr">
        <is>
          <t>E1</t>
        </is>
      </c>
      <c r="B32" s="10" t="inlineStr">
        <is>
          <t>Screening / measure results documented with specific values (PHQ-9, GAD-7, BMI, BP, HbA1c) — not just 'screened' or 'normal'</t>
        </is>
      </c>
      <c r="C32" s="32" t="n"/>
      <c r="D32" s="33">
        <f>IF(C32="✓ Met",1,IF(C32="△ Partial",0.5,IF(C32="✗ Not Met",0,IF(C32="N/A","",""))))</f>
        <v/>
      </c>
      <c r="E32" s="10" t="n"/>
    </row>
    <row r="33" ht="40" customHeight="1">
      <c r="A33" s="31" t="inlineStr">
        <is>
          <t>E2</t>
        </is>
      </c>
      <c r="B33" s="10" t="inlineStr">
        <is>
          <t>Follow-up plan documented when a screening is positive or a result is abnormal (positive PHQ-9 → depression plan; elevated BMI → nutrition counseling)</t>
        </is>
      </c>
      <c r="C33" s="32" t="n"/>
      <c r="D33" s="33">
        <f>IF(C33="✓ Met",1,IF(C33="△ Partial",0.5,IF(C33="✗ Not Met",0,IF(C33="N/A","",""))))</f>
        <v/>
      </c>
      <c r="E33" s="10" t="n"/>
    </row>
    <row r="34" ht="6" customHeight="1"/>
    <row r="36" ht="30" customHeight="1">
      <c r="A36" s="34" t="inlineStr">
        <is>
          <t xml:space="preserve">  SUMMARY</t>
        </is>
      </c>
    </row>
    <row r="37" ht="24" customHeight="1">
      <c r="A37" s="6" t="inlineStr">
        <is>
          <t>§</t>
        </is>
      </c>
      <c r="B37" s="6" t="inlineStr">
        <is>
          <t>Category</t>
        </is>
      </c>
      <c r="C37" s="6" t="n"/>
      <c r="D37" s="6" t="inlineStr">
        <is>
          <t>% Met</t>
        </is>
      </c>
      <c r="E37" s="6" t="inlineStr"/>
    </row>
    <row r="38" ht="24" customHeight="1">
      <c r="A38" s="35" t="inlineStr">
        <is>
          <t>A</t>
        </is>
      </c>
      <c r="B38" s="11" t="inlineStr">
        <is>
          <t>Diagnosis Accuracy</t>
        </is>
      </c>
      <c r="C38" s="36">
        <f>COUNTIF(C10:C13,"✓ Met")+COUNTIF(C10:C13,"△ Partial")+COUNTIF(C10:C13,"✗ Not Met")</f>
        <v/>
      </c>
      <c r="D38" s="37">
        <f>IFERROR(SUM(D10:D13)/C38,"")</f>
        <v/>
      </c>
      <c r="E38" s="14" t="inlineStr"/>
    </row>
    <row r="39" ht="24" customHeight="1">
      <c r="A39" s="35" t="inlineStr">
        <is>
          <t>B</t>
        </is>
      </c>
      <c r="B39" s="11" t="inlineStr">
        <is>
          <t>Documentation Specificity</t>
        </is>
      </c>
      <c r="C39" s="36">
        <f>COUNTIF(C16:C19,"✓ Met")+COUNTIF(C16:C19,"△ Partial")+COUNTIF(C16:C19,"✗ Not Met")</f>
        <v/>
      </c>
      <c r="D39" s="37">
        <f>IFERROR(SUM(D16:D19)/C39,"")</f>
        <v/>
      </c>
      <c r="E39" s="14" t="inlineStr"/>
    </row>
    <row r="40" ht="24" customHeight="1">
      <c r="A40" s="35" t="inlineStr">
        <is>
          <t>C</t>
        </is>
      </c>
      <c r="B40" s="11" t="inlineStr">
        <is>
          <t>SOAP Note Structure</t>
        </is>
      </c>
      <c r="C40" s="36">
        <f>COUNTIF(C22:C25,"✓ Met")+COUNTIF(C22:C25,"△ Partial")+COUNTIF(C22:C25,"✗ Not Met")</f>
        <v/>
      </c>
      <c r="D40" s="37">
        <f>IFERROR(SUM(D22:D25)/C40,"")</f>
        <v/>
      </c>
      <c r="E40" s="14" t="inlineStr"/>
    </row>
    <row r="41" ht="24" customHeight="1">
      <c r="A41" s="35" t="inlineStr">
        <is>
          <t>D</t>
        </is>
      </c>
      <c r="B41" s="11" t="inlineStr">
        <is>
          <t>HCC Capture</t>
        </is>
      </c>
      <c r="C41" s="36">
        <f>COUNTIF(C28:C29,"✓ Met")+COUNTIF(C28:C29,"△ Partial")+COUNTIF(C28:C29,"✗ Not Met")</f>
        <v/>
      </c>
      <c r="D41" s="37">
        <f>IFERROR(SUM(D28:D29)/C41,"")</f>
        <v/>
      </c>
      <c r="E41" s="14" t="inlineStr"/>
    </row>
    <row r="42" ht="24" customHeight="1">
      <c r="A42" s="35" t="inlineStr">
        <is>
          <t>E</t>
        </is>
      </c>
      <c r="B42" s="11" t="inlineStr">
        <is>
          <t>Documentation Supporting Quality Measures</t>
        </is>
      </c>
      <c r="C42" s="36">
        <f>COUNTIF(C32:C33,"✓ Met")+COUNTIF(C32:C33,"△ Partial")+COUNTIF(C32:C33,"✗ Not Met")</f>
        <v/>
      </c>
      <c r="D42" s="37">
        <f>IFERROR(SUM(D32:D33)/C42,"")</f>
        <v/>
      </c>
      <c r="E42" s="14" t="inlineStr"/>
    </row>
    <row r="44" ht="44" customHeight="1">
      <c r="A44" s="38" t="inlineStr">
        <is>
          <t xml:space="preserve">  OVERALL COMPLIANCE</t>
        </is>
      </c>
      <c r="D44" s="39">
        <f>IFERROR(SUMPRODUCT(D38:D42,C38:C42)/SUM(C38:C42),"")</f>
        <v/>
      </c>
      <c r="E44" s="17" t="n"/>
    </row>
    <row r="45" ht="32" customHeight="1">
      <c r="A45" s="40" t="inlineStr">
        <is>
          <t xml:space="preserve">  PERFORMANCE BAND</t>
        </is>
      </c>
      <c r="B45" s="53" t="n"/>
      <c r="C45" s="54" t="n"/>
      <c r="D45" s="18">
        <f>IF(D44="","",IF(D44&gt;=0.95,"Excellent",IF(D44&gt;=0.90,"Meets Expectations",IF(D44&gt;=0.80,"Needs Improvement","Corrective Education Required"))))</f>
        <v/>
      </c>
      <c r="E45" s="14" t="n"/>
    </row>
    <row r="46" ht="28" customHeight="1">
      <c r="A46" s="62" t="n"/>
      <c r="B46" s="62" t="n"/>
      <c r="C46" s="62" t="n"/>
      <c r="D46" s="62" t="n"/>
      <c r="E46" s="62" t="n"/>
      <c r="F46" s="62" t="n"/>
      <c r="G46" s="62" t="n"/>
      <c r="H46" s="62" t="n"/>
      <c r="I46" s="62" t="n"/>
    </row>
    <row r="47" ht="30" customHeight="1">
      <c r="A47" s="62" t="n"/>
      <c r="B47" s="62" t="n"/>
      <c r="C47" s="62" t="n"/>
      <c r="D47" s="62" t="n"/>
      <c r="E47" s="62" t="n"/>
      <c r="F47" s="62" t="n"/>
      <c r="G47" s="62" t="n"/>
      <c r="H47" s="62" t="n"/>
      <c r="I47" s="62" t="n"/>
    </row>
    <row r="48">
      <c r="A48" s="62" t="n"/>
      <c r="B48" s="62" t="n"/>
      <c r="C48" s="62" t="n"/>
      <c r="D48" s="62" t="n"/>
      <c r="E48" s="62" t="n"/>
      <c r="F48" s="62" t="n"/>
      <c r="G48" s="62" t="n"/>
      <c r="H48" s="62" t="n"/>
      <c r="I48" s="62" t="n"/>
    </row>
    <row r="49" ht="26" customHeight="1">
      <c r="A49" s="62" t="n"/>
      <c r="B49" s="62" t="n"/>
      <c r="C49" s="62" t="n"/>
      <c r="D49" s="62" t="n"/>
      <c r="E49" s="62" t="n"/>
      <c r="F49" s="62" t="n"/>
      <c r="G49" s="62" t="n"/>
      <c r="H49" s="62" t="n"/>
      <c r="I49" s="62" t="n"/>
    </row>
    <row r="50">
      <c r="A50" s="62" t="n"/>
      <c r="B50" s="62" t="n"/>
      <c r="C50" s="62" t="n"/>
      <c r="D50" s="62" t="n"/>
      <c r="E50" s="62" t="n"/>
      <c r="F50" s="62" t="n"/>
      <c r="G50" s="62" t="n"/>
      <c r="H50" s="62" t="n"/>
      <c r="I50" s="62" t="n"/>
    </row>
    <row r="51" ht="28" customHeight="1">
      <c r="A51" s="62" t="n"/>
      <c r="B51" s="62" t="n"/>
      <c r="C51" s="62" t="n"/>
      <c r="D51" s="62" t="n"/>
      <c r="E51" s="62" t="n"/>
      <c r="F51" s="62" t="n"/>
      <c r="G51" s="62" t="n"/>
      <c r="H51" s="62" t="n"/>
      <c r="I51" s="62" t="n"/>
    </row>
    <row r="52" ht="30" customHeight="1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</row>
  </sheetData>
  <mergeCells count="11">
    <mergeCell ref="A21:E21"/>
    <mergeCell ref="A44:C44"/>
    <mergeCell ref="A2:E2"/>
    <mergeCell ref="A45:C45"/>
    <mergeCell ref="A15:E15"/>
    <mergeCell ref="E4:E6"/>
    <mergeCell ref="A1:E1"/>
    <mergeCell ref="A36:E36"/>
    <mergeCell ref="A31:E31"/>
    <mergeCell ref="A9:E9"/>
    <mergeCell ref="A27:E27"/>
  </mergeCells>
  <dataValidations count="3">
    <dataValidation sqref="B6" showDropDown="0" showInputMessage="0" showErrorMessage="0" allowBlank="1" type="list">
      <formula1>"Diabetes,Chronic Kidney Disease,Annual Wellness Visit,High RAF Patient,Random Selection"</formula1>
    </dataValidation>
    <dataValidation sqref="D6" showDropDown="0" showInputMessage="0" showErrorMessage="0" allowBlank="1" type="list">
      <formula1>"Medicare Advantage,Commercial,Medicaid,Dual"</formula1>
    </dataValidation>
    <dataValidation sqref="C10:C34" showDropDown="0" showInputMessage="0" showErrorMessage="0" allowBlank="1" type="list">
      <formula1>"✓ Met,△ Partial,✗ Not Met,N/A"</formula1>
    </dataValidation>
  </dataValidations>
  <printOptions horizontalCentered="1"/>
  <pageMargins left="0.3" right="0.3" top="0.4" bottom="0.4" header="0.5" footer="0.5"/>
  <pageSetup orientation="portrait" paperSize="1" fitToHeight="1" fitToWidth="1"/>
</worksheet>
</file>

<file path=xl/worksheets/sheet8.xml><?xml version="1.0" encoding="utf-8"?>
<worksheet xmlns="http://schemas.openxmlformats.org/spreadsheetml/2006/main">
  <sheetPr>
    <tabColor rgb="001E7A6E"/>
    <outlinePr summaryBelow="1" summaryRight="1"/>
    <pageSetUpPr fitToPage="1"/>
  </sheetPr>
  <dimension ref="A1:I52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  <col width="10" customWidth="1" min="4" max="4"/>
    <col width="42" customWidth="1" min="5" max="5"/>
  </cols>
  <sheetData>
    <row r="1" ht="42" customHeight="1">
      <c r="A1" s="25" t="inlineStr">
        <is>
          <t>Clinical Documentation Audit</t>
        </is>
      </c>
    </row>
    <row r="2" ht="26" customHeight="1">
      <c r="A2" s="26" t="inlineStr">
        <is>
          <t>One chart per sheet · tick each item · scoring &amp; rating are automatic</t>
        </is>
      </c>
    </row>
    <row r="3" ht="8" customHeight="1"/>
    <row r="4" ht="28" customHeight="1">
      <c r="A4" s="27" t="inlineStr">
        <is>
          <t>Provider:</t>
        </is>
      </c>
      <c r="B4" s="4" t="n"/>
      <c r="C4" s="27" t="inlineStr">
        <is>
          <t>Date of Service:</t>
        </is>
      </c>
      <c r="D4" s="4" t="n"/>
      <c r="E4" s="28" t="inlineStr">
        <is>
          <t>How to audit a claim
1. Click a Claim 01–10 tab (bottom of the workbook)
2. Fill yellow header + ratings — auto-scores
3. Move to the next Claim tab · repeat
Global metrics roll up automatically
• Open the Provider Metrics tab — it pulls the 10 claim scores
  live from the Claim tabs so you see the running provider average.
Start a new provider (after 10 claims)
1. Ctrl+click Claim 01 through Claim 10 to group them
2. Select the yellow header + rating + note cells on any tab
3. Press Delete → all 10 tabs clear at once
4. Right-click any tab → Ungroup Sheets</t>
        </is>
      </c>
    </row>
    <row r="5" ht="26" customHeight="1">
      <c r="A5" s="27" t="inlineStr">
        <is>
          <t>Claim Number:</t>
        </is>
      </c>
      <c r="B5" s="110" t="n"/>
      <c r="C5" s="27" t="inlineStr">
        <is>
          <t>Auditor:</t>
        </is>
      </c>
      <c r="D5" s="4" t="n"/>
      <c r="E5" s="51" t="n"/>
    </row>
    <row r="6" ht="28" customHeight="1">
      <c r="A6" s="27" t="inlineStr">
        <is>
          <t>Category:</t>
        </is>
      </c>
      <c r="B6" s="4" t="n"/>
      <c r="C6" s="27" t="inlineStr">
        <is>
          <t>Payer:</t>
        </is>
      </c>
      <c r="D6" s="4" t="n"/>
      <c r="E6" s="52" t="n"/>
    </row>
    <row r="7" ht="26" customHeight="1">
      <c r="A7" s="27" t="inlineStr">
        <is>
          <t>Date of audit:</t>
        </is>
      </c>
      <c r="B7" s="109" t="n"/>
    </row>
    <row r="8" ht="32" customHeight="1">
      <c r="A8" s="29" t="inlineStr">
        <is>
          <t>§</t>
        </is>
      </c>
      <c r="B8" s="29" t="inlineStr">
        <is>
          <t>Documentation element</t>
        </is>
      </c>
      <c r="C8" s="29" t="n"/>
      <c r="D8" s="29" t="inlineStr">
        <is>
          <t>Pts</t>
        </is>
      </c>
      <c r="E8" s="29" t="n"/>
    </row>
    <row r="9" ht="30" customHeight="1">
      <c r="A9" s="30" t="inlineStr">
        <is>
          <t xml:space="preserve">  A · Diagnosis Accuracy   (4 items)</t>
        </is>
      </c>
    </row>
    <row r="10" ht="40" customHeight="1">
      <c r="A10" s="31" t="inlineStr">
        <is>
          <t>A1</t>
        </is>
      </c>
      <c r="B10" s="10" t="inlineStr">
        <is>
          <t>All reported diagnoses are clinically supported in the note</t>
        </is>
      </c>
      <c r="C10" s="32" t="n"/>
      <c r="D10" s="33">
        <f>IF(C10="✓ Met",1,IF(C10="△ Partial",0.5,IF(C10="✗ Not Met",0,IF(C10="N/A","",""))))</f>
        <v/>
      </c>
      <c r="E10" s="10" t="n"/>
    </row>
    <row r="11" ht="40" customHeight="1">
      <c r="A11" s="31" t="inlineStr">
        <is>
          <t>A2</t>
        </is>
      </c>
      <c r="B11" s="10" t="inlineStr">
        <is>
          <t>Chronic conditions actively addressed at this visit (not just carried forward)</t>
        </is>
      </c>
      <c r="C11" s="32" t="n"/>
      <c r="D11" s="33">
        <f>IF(C11="✓ Met",1,IF(C11="△ Partial",0.5,IF(C11="✗ Not Met",0,IF(C11="N/A","",""))))</f>
        <v/>
      </c>
      <c r="E11" s="10" t="n"/>
    </row>
    <row r="12" ht="40" customHeight="1">
      <c r="A12" s="31" t="inlineStr">
        <is>
          <t>A3</t>
        </is>
      </c>
      <c r="B12" s="10" t="inlineStr">
        <is>
          <t>No unsupported or resolved conditions billed as active</t>
        </is>
      </c>
      <c r="C12" s="32" t="n"/>
      <c r="D12" s="33">
        <f>IF(C12="✓ Met",1,IF(C12="△ Partial",0.5,IF(C12="✗ Not Met",0,IF(C12="N/A","",""))))</f>
        <v/>
      </c>
      <c r="E12" s="10" t="n"/>
    </row>
    <row r="13" ht="40" customHeight="1">
      <c r="A13" s="31" t="inlineStr">
        <is>
          <t>A4</t>
        </is>
      </c>
      <c r="B13" s="10" t="inlineStr">
        <is>
          <t>Problem list matches today's assessment &amp; plan</t>
        </is>
      </c>
      <c r="C13" s="32" t="n"/>
      <c r="D13" s="33">
        <f>IF(C13="✓ Met",1,IF(C13="△ Partial",0.5,IF(C13="✗ Not Met",0,IF(C13="N/A","",""))))</f>
        <v/>
      </c>
      <c r="E13" s="10" t="n"/>
    </row>
    <row r="14" ht="6" customHeight="1"/>
    <row r="15" ht="30" customHeight="1">
      <c r="A15" s="30" t="inlineStr">
        <is>
          <t xml:space="preserve">  B · Documentation Specificity   (4 items)</t>
        </is>
      </c>
    </row>
    <row r="16" ht="40" customHeight="1">
      <c r="A16" s="31" t="inlineStr">
        <is>
          <t>B1</t>
        </is>
      </c>
      <c r="B16" s="10" t="inlineStr">
        <is>
          <t>ICD-10 codes at highest available specificity (avoid 'unspecified')</t>
        </is>
      </c>
      <c r="C16" s="32" t="n"/>
      <c r="D16" s="33">
        <f>IF(C16="✓ Met",1,IF(C16="△ Partial",0.5,IF(C16="✗ Not Met",0,IF(C16="N/A","",""))))</f>
        <v/>
      </c>
      <c r="E16" s="10" t="n"/>
    </row>
    <row r="17" ht="40" customHeight="1">
      <c r="A17" s="31" t="inlineStr">
        <is>
          <t>B2</t>
        </is>
      </c>
      <c r="B17" s="10" t="inlineStr">
        <is>
          <t>Diabetes: type + complications + control specified</t>
        </is>
      </c>
      <c r="C17" s="32" t="n"/>
      <c r="D17" s="33">
        <f>IF(C17="✓ Met",1,IF(C17="△ Partial",0.5,IF(C17="✗ Not Met",0,IF(C17="N/A","",""))))</f>
        <v/>
      </c>
      <c r="E17" s="10" t="n"/>
    </row>
    <row r="18" ht="40" customHeight="1">
      <c r="A18" s="31" t="inlineStr">
        <is>
          <t>B3</t>
        </is>
      </c>
      <c r="B18" s="10" t="inlineStr">
        <is>
          <t>S / O / A / P sections tell one consistent clinical story</t>
        </is>
      </c>
      <c r="C18" s="32" t="n"/>
      <c r="D18" s="33">
        <f>IF(C18="✓ Met",1,IF(C18="△ Partial",0.5,IF(C18="✗ Not Met",0,IF(C18="N/A","",""))))</f>
        <v/>
      </c>
      <c r="E18" s="10" t="n"/>
    </row>
    <row r="19" ht="40" customHeight="1">
      <c r="A19" s="31" t="inlineStr">
        <is>
          <t>B4</t>
        </is>
      </c>
      <c r="B19" s="10" t="inlineStr">
        <is>
          <t>Note signed, dated, and closed by the rendering provider</t>
        </is>
      </c>
      <c r="C19" s="32" t="n"/>
      <c r="D19" s="33">
        <f>IF(C19="✓ Met",1,IF(C19="△ Partial",0.5,IF(C19="✗ Not Met",0,IF(C19="N/A","",""))))</f>
        <v/>
      </c>
      <c r="E19" s="10" t="n"/>
    </row>
    <row r="20" ht="6" customHeight="1"/>
    <row r="21" ht="30" customHeight="1">
      <c r="A21" s="30" t="inlineStr">
        <is>
          <t xml:space="preserve">  C · SOAP Note Structure   (4 items)</t>
        </is>
      </c>
    </row>
    <row r="22" ht="40" customHeight="1">
      <c r="A22" s="31" t="inlineStr">
        <is>
          <t>C1</t>
        </is>
      </c>
      <c r="B22" s="10" t="inlineStr">
        <is>
          <t>Subjective — patient's history, symptoms, and concerns clearly documented</t>
        </is>
      </c>
      <c r="C22" s="32" t="n"/>
      <c r="D22" s="33">
        <f>IF(C22="✓ Met",1,IF(C22="△ Partial",0.5,IF(C22="✗ Not Met",0,IF(C22="N/A","",""))))</f>
        <v/>
      </c>
      <c r="E22" s="10" t="n"/>
    </row>
    <row r="23" ht="40" customHeight="1">
      <c r="A23" s="31" t="inlineStr">
        <is>
          <t>C2</t>
        </is>
      </c>
      <c r="B23" s="10" t="inlineStr">
        <is>
          <t>Objective — exam findings, vitals, and relevant test results documented</t>
        </is>
      </c>
      <c r="C23" s="32" t="n"/>
      <c r="D23" s="33">
        <f>IF(C23="✓ Met",1,IF(C23="△ Partial",0.5,IF(C23="✗ Not Met",0,IF(C23="N/A","",""))))</f>
        <v/>
      </c>
      <c r="E23" s="10" t="n"/>
    </row>
    <row r="24" ht="40" customHeight="1">
      <c r="A24" s="31" t="inlineStr">
        <is>
          <t>C3</t>
        </is>
      </c>
      <c r="B24" s="10" t="inlineStr">
        <is>
          <t>Assessment — each diagnosis explicitly assessed with clinical reasoning</t>
        </is>
      </c>
      <c r="C24" s="32" t="n"/>
      <c r="D24" s="33">
        <f>IF(C24="✓ Met",1,IF(C24="△ Partial",0.5,IF(C24="✗ Not Met",0,IF(C24="N/A","",""))))</f>
        <v/>
      </c>
      <c r="E24" s="10" t="n"/>
    </row>
    <row r="25" ht="40" customHeight="1">
      <c r="A25" s="31" t="inlineStr">
        <is>
          <t>C4</t>
        </is>
      </c>
      <c r="B25" s="10" t="inlineStr">
        <is>
          <t>Plan — treatment plan documented (medication / referral / testing / follow-up)</t>
        </is>
      </c>
      <c r="C25" s="32" t="n"/>
      <c r="D25" s="33">
        <f>IF(C25="✓ Met",1,IF(C25="△ Partial",0.5,IF(C25="✗ Not Met",0,IF(C25="N/A","",""))))</f>
        <v/>
      </c>
      <c r="E25" s="10" t="n"/>
    </row>
    <row r="26" ht="6" customHeight="1"/>
    <row r="27" ht="30" customHeight="1">
      <c r="A27" s="30" t="inlineStr">
        <is>
          <t xml:space="preserve">  D · HCC Capture   (2 items)</t>
        </is>
      </c>
    </row>
    <row r="28" ht="40" customHeight="1">
      <c r="A28" s="31" t="inlineStr">
        <is>
          <t>D1</t>
        </is>
      </c>
      <c r="B28" s="10" t="inlineStr">
        <is>
          <t>Prior-year HCCs recaptured (or explicitly resolved with rationale)</t>
        </is>
      </c>
      <c r="C28" s="32" t="n"/>
      <c r="D28" s="33">
        <f>IF(C28="✓ Met",1,IF(C28="△ Partial",0.5,IF(C28="✗ Not Met",0,IF(C28="N/A","",""))))</f>
        <v/>
      </c>
      <c r="E28" s="10" t="n"/>
    </row>
    <row r="29" ht="40" customHeight="1">
      <c r="A29" s="31" t="inlineStr">
        <is>
          <t>D2</t>
        </is>
      </c>
      <c r="B29" s="10" t="inlineStr">
        <is>
          <t>Suspected undocumented chronic conditions captured with support</t>
        </is>
      </c>
      <c r="C29" s="32" t="n"/>
      <c r="D29" s="33">
        <f>IF(C29="✓ Met",1,IF(C29="△ Partial",0.5,IF(C29="✗ Not Met",0,IF(C29="N/A","",""))))</f>
        <v/>
      </c>
      <c r="E29" s="10" t="n"/>
    </row>
    <row r="30" ht="6" customHeight="1"/>
    <row r="31" ht="30" customHeight="1">
      <c r="A31" s="30" t="inlineStr">
        <is>
          <t xml:space="preserve">  E · Documentation Supporting Quality Measures   (2 items)</t>
        </is>
      </c>
    </row>
    <row r="32" ht="40" customHeight="1">
      <c r="A32" s="31" t="inlineStr">
        <is>
          <t>E1</t>
        </is>
      </c>
      <c r="B32" s="10" t="inlineStr">
        <is>
          <t>Screening / measure results documented with specific values (PHQ-9, GAD-7, BMI, BP, HbA1c) — not just 'screened' or 'normal'</t>
        </is>
      </c>
      <c r="C32" s="32" t="n"/>
      <c r="D32" s="33">
        <f>IF(C32="✓ Met",1,IF(C32="△ Partial",0.5,IF(C32="✗ Not Met",0,IF(C32="N/A","",""))))</f>
        <v/>
      </c>
      <c r="E32" s="10" t="n"/>
    </row>
    <row r="33" ht="40" customHeight="1">
      <c r="A33" s="31" t="inlineStr">
        <is>
          <t>E2</t>
        </is>
      </c>
      <c r="B33" s="10" t="inlineStr">
        <is>
          <t>Follow-up plan documented when a screening is positive or a result is abnormal (positive PHQ-9 → depression plan; elevated BMI → nutrition counseling)</t>
        </is>
      </c>
      <c r="C33" s="32" t="n"/>
      <c r="D33" s="33">
        <f>IF(C33="✓ Met",1,IF(C33="△ Partial",0.5,IF(C33="✗ Not Met",0,IF(C33="N/A","",""))))</f>
        <v/>
      </c>
      <c r="E33" s="10" t="n"/>
    </row>
    <row r="34" ht="6" customHeight="1"/>
    <row r="36" ht="30" customHeight="1">
      <c r="A36" s="34" t="inlineStr">
        <is>
          <t xml:space="preserve">  SUMMARY</t>
        </is>
      </c>
    </row>
    <row r="37" ht="24" customHeight="1">
      <c r="A37" s="6" t="inlineStr">
        <is>
          <t>§</t>
        </is>
      </c>
      <c r="B37" s="6" t="inlineStr">
        <is>
          <t>Category</t>
        </is>
      </c>
      <c r="C37" s="6" t="n"/>
      <c r="D37" s="6" t="inlineStr">
        <is>
          <t>% Met</t>
        </is>
      </c>
      <c r="E37" s="6" t="inlineStr"/>
    </row>
    <row r="38" ht="24" customHeight="1">
      <c r="A38" s="35" t="inlineStr">
        <is>
          <t>A</t>
        </is>
      </c>
      <c r="B38" s="11" t="inlineStr">
        <is>
          <t>Diagnosis Accuracy</t>
        </is>
      </c>
      <c r="C38" s="36">
        <f>COUNTIF(C10:C13,"✓ Met")+COUNTIF(C10:C13,"△ Partial")+COUNTIF(C10:C13,"✗ Not Met")</f>
        <v/>
      </c>
      <c r="D38" s="37">
        <f>IFERROR(SUM(D10:D13)/C38,"")</f>
        <v/>
      </c>
      <c r="E38" s="14" t="inlineStr"/>
    </row>
    <row r="39" ht="24" customHeight="1">
      <c r="A39" s="35" t="inlineStr">
        <is>
          <t>B</t>
        </is>
      </c>
      <c r="B39" s="11" t="inlineStr">
        <is>
          <t>Documentation Specificity</t>
        </is>
      </c>
      <c r="C39" s="36">
        <f>COUNTIF(C16:C19,"✓ Met")+COUNTIF(C16:C19,"△ Partial")+COUNTIF(C16:C19,"✗ Not Met")</f>
        <v/>
      </c>
      <c r="D39" s="37">
        <f>IFERROR(SUM(D16:D19)/C39,"")</f>
        <v/>
      </c>
      <c r="E39" s="14" t="inlineStr"/>
    </row>
    <row r="40" ht="24" customHeight="1">
      <c r="A40" s="35" t="inlineStr">
        <is>
          <t>C</t>
        </is>
      </c>
      <c r="B40" s="11" t="inlineStr">
        <is>
          <t>SOAP Note Structure</t>
        </is>
      </c>
      <c r="C40" s="36">
        <f>COUNTIF(C22:C25,"✓ Met")+COUNTIF(C22:C25,"△ Partial")+COUNTIF(C22:C25,"✗ Not Met")</f>
        <v/>
      </c>
      <c r="D40" s="37">
        <f>IFERROR(SUM(D22:D25)/C40,"")</f>
        <v/>
      </c>
      <c r="E40" s="14" t="inlineStr"/>
    </row>
    <row r="41" ht="24" customHeight="1">
      <c r="A41" s="35" t="inlineStr">
        <is>
          <t>D</t>
        </is>
      </c>
      <c r="B41" s="11" t="inlineStr">
        <is>
          <t>HCC Capture</t>
        </is>
      </c>
      <c r="C41" s="36">
        <f>COUNTIF(C28:C29,"✓ Met")+COUNTIF(C28:C29,"△ Partial")+COUNTIF(C28:C29,"✗ Not Met")</f>
        <v/>
      </c>
      <c r="D41" s="37">
        <f>IFERROR(SUM(D28:D29)/C41,"")</f>
        <v/>
      </c>
      <c r="E41" s="14" t="inlineStr"/>
    </row>
    <row r="42" ht="24" customHeight="1">
      <c r="A42" s="35" t="inlineStr">
        <is>
          <t>E</t>
        </is>
      </c>
      <c r="B42" s="11" t="inlineStr">
        <is>
          <t>Documentation Supporting Quality Measures</t>
        </is>
      </c>
      <c r="C42" s="36">
        <f>COUNTIF(C32:C33,"✓ Met")+COUNTIF(C32:C33,"△ Partial")+COUNTIF(C32:C33,"✗ Not Met")</f>
        <v/>
      </c>
      <c r="D42" s="37">
        <f>IFERROR(SUM(D32:D33)/C42,"")</f>
        <v/>
      </c>
      <c r="E42" s="14" t="inlineStr"/>
    </row>
    <row r="44" ht="44" customHeight="1">
      <c r="A44" s="38" t="inlineStr">
        <is>
          <t xml:space="preserve">  OVERALL COMPLIANCE</t>
        </is>
      </c>
      <c r="D44" s="39">
        <f>IFERROR(SUMPRODUCT(D38:D42,C38:C42)/SUM(C38:C42),"")</f>
        <v/>
      </c>
      <c r="E44" s="17" t="n"/>
    </row>
    <row r="45" ht="32" customHeight="1">
      <c r="A45" s="40" t="inlineStr">
        <is>
          <t xml:space="preserve">  PERFORMANCE BAND</t>
        </is>
      </c>
      <c r="B45" s="53" t="n"/>
      <c r="C45" s="54" t="n"/>
      <c r="D45" s="18">
        <f>IF(D44="","",IF(D44&gt;=0.95,"Excellent",IF(D44&gt;=0.90,"Meets Expectations",IF(D44&gt;=0.80,"Needs Improvement","Corrective Education Required"))))</f>
        <v/>
      </c>
      <c r="E45" s="14" t="n"/>
    </row>
    <row r="46" ht="28" customHeight="1">
      <c r="A46" s="62" t="n"/>
      <c r="B46" s="62" t="n"/>
      <c r="C46" s="62" t="n"/>
      <c r="D46" s="62" t="n"/>
      <c r="E46" s="62" t="n"/>
      <c r="F46" s="62" t="n"/>
      <c r="G46" s="62" t="n"/>
      <c r="H46" s="62" t="n"/>
      <c r="I46" s="62" t="n"/>
    </row>
    <row r="47" ht="30" customHeight="1">
      <c r="A47" s="62" t="n"/>
      <c r="B47" s="62" t="n"/>
      <c r="C47" s="62" t="n"/>
      <c r="D47" s="62" t="n"/>
      <c r="E47" s="62" t="n"/>
      <c r="F47" s="62" t="n"/>
      <c r="G47" s="62" t="n"/>
      <c r="H47" s="62" t="n"/>
      <c r="I47" s="62" t="n"/>
    </row>
    <row r="48">
      <c r="A48" s="62" t="n"/>
      <c r="B48" s="62" t="n"/>
      <c r="C48" s="62" t="n"/>
      <c r="D48" s="62" t="n"/>
      <c r="E48" s="62" t="n"/>
      <c r="F48" s="62" t="n"/>
      <c r="G48" s="62" t="n"/>
      <c r="H48" s="62" t="n"/>
      <c r="I48" s="62" t="n"/>
    </row>
    <row r="49" ht="26" customHeight="1">
      <c r="A49" s="62" t="n"/>
      <c r="B49" s="62" t="n"/>
      <c r="C49" s="62" t="n"/>
      <c r="D49" s="62" t="n"/>
      <c r="E49" s="62" t="n"/>
      <c r="F49" s="62" t="n"/>
      <c r="G49" s="62" t="n"/>
      <c r="H49" s="62" t="n"/>
      <c r="I49" s="62" t="n"/>
    </row>
    <row r="50">
      <c r="A50" s="62" t="n"/>
      <c r="B50" s="62" t="n"/>
      <c r="C50" s="62" t="n"/>
      <c r="D50" s="62" t="n"/>
      <c r="E50" s="62" t="n"/>
      <c r="F50" s="62" t="n"/>
      <c r="G50" s="62" t="n"/>
      <c r="H50" s="62" t="n"/>
      <c r="I50" s="62" t="n"/>
    </row>
    <row r="51" ht="28" customHeight="1">
      <c r="A51" s="62" t="n"/>
      <c r="B51" s="62" t="n"/>
      <c r="C51" s="62" t="n"/>
      <c r="D51" s="62" t="n"/>
      <c r="E51" s="62" t="n"/>
      <c r="F51" s="62" t="n"/>
      <c r="G51" s="62" t="n"/>
      <c r="H51" s="62" t="n"/>
      <c r="I51" s="62" t="n"/>
    </row>
    <row r="52" ht="30" customHeight="1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</row>
  </sheetData>
  <mergeCells count="11">
    <mergeCell ref="A21:E21"/>
    <mergeCell ref="A44:C44"/>
    <mergeCell ref="A2:E2"/>
    <mergeCell ref="A45:C45"/>
    <mergeCell ref="A15:E15"/>
    <mergeCell ref="E4:E6"/>
    <mergeCell ref="A1:E1"/>
    <mergeCell ref="A36:E36"/>
    <mergeCell ref="A31:E31"/>
    <mergeCell ref="A9:E9"/>
    <mergeCell ref="A27:E27"/>
  </mergeCells>
  <dataValidations count="3">
    <dataValidation sqref="B6" showDropDown="0" showInputMessage="0" showErrorMessage="0" allowBlank="1" type="list">
      <formula1>"Diabetes,Chronic Kidney Disease,Annual Wellness Visit,High RAF Patient,Random Selection"</formula1>
    </dataValidation>
    <dataValidation sqref="D6" showDropDown="0" showInputMessage="0" showErrorMessage="0" allowBlank="1" type="list">
      <formula1>"Medicare Advantage,Commercial,Medicaid,Dual"</formula1>
    </dataValidation>
    <dataValidation sqref="C10:C34" showDropDown="0" showInputMessage="0" showErrorMessage="0" allowBlank="1" type="list">
      <formula1>"✓ Met,△ Partial,✗ Not Met,N/A"</formula1>
    </dataValidation>
  </dataValidations>
  <printOptions horizontalCentered="1"/>
  <pageMargins left="0.3" right="0.3" top="0.4" bottom="0.4" header="0.5" footer="0.5"/>
  <pageSetup orientation="portrait" paperSize="1" fitToHeight="1" fitToWidth="1"/>
</worksheet>
</file>

<file path=xl/worksheets/sheet9.xml><?xml version="1.0" encoding="utf-8"?>
<worksheet xmlns="http://schemas.openxmlformats.org/spreadsheetml/2006/main">
  <sheetPr>
    <tabColor rgb="001E7A6E"/>
    <outlinePr summaryBelow="1" summaryRight="1"/>
    <pageSetUpPr fitToPage="1"/>
  </sheetPr>
  <dimension ref="A1:I52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  <col width="10" customWidth="1" min="4" max="4"/>
    <col width="42" customWidth="1" min="5" max="5"/>
  </cols>
  <sheetData>
    <row r="1" ht="42" customHeight="1">
      <c r="A1" s="25" t="inlineStr">
        <is>
          <t>Clinical Documentation Audit</t>
        </is>
      </c>
    </row>
    <row r="2" ht="26" customHeight="1">
      <c r="A2" s="26" t="inlineStr">
        <is>
          <t>One chart per sheet · tick each item · scoring &amp; rating are automatic</t>
        </is>
      </c>
    </row>
    <row r="3" ht="8" customHeight="1"/>
    <row r="4" ht="28" customHeight="1">
      <c r="A4" s="27" t="inlineStr">
        <is>
          <t>Provider:</t>
        </is>
      </c>
      <c r="B4" s="4" t="n"/>
      <c r="C4" s="27" t="inlineStr">
        <is>
          <t>Date of Service:</t>
        </is>
      </c>
      <c r="D4" s="4" t="n"/>
      <c r="E4" s="28" t="inlineStr">
        <is>
          <t>How to audit a claim
1. Click a Claim 01–10 tab (bottom of the workbook)
2. Fill yellow header + ratings — auto-scores
3. Move to the next Claim tab · repeat
Global metrics roll up automatically
• Open the Provider Metrics tab — it pulls the 10 claim scores
  live from the Claim tabs so you see the running provider average.
Start a new provider (after 10 claims)
1. Ctrl+click Claim 01 through Claim 10 to group them
2. Select the yellow header + rating + note cells on any tab
3. Press Delete → all 10 tabs clear at once
4. Right-click any tab → Ungroup Sheets</t>
        </is>
      </c>
    </row>
    <row r="5" ht="26" customHeight="1">
      <c r="A5" s="27" t="inlineStr">
        <is>
          <t>Claim Number:</t>
        </is>
      </c>
      <c r="B5" s="110" t="n"/>
      <c r="C5" s="27" t="inlineStr">
        <is>
          <t>Auditor:</t>
        </is>
      </c>
      <c r="D5" s="4" t="n"/>
      <c r="E5" s="51" t="n"/>
    </row>
    <row r="6" ht="28" customHeight="1">
      <c r="A6" s="27" t="inlineStr">
        <is>
          <t>Category:</t>
        </is>
      </c>
      <c r="B6" s="4" t="n"/>
      <c r="C6" s="27" t="inlineStr">
        <is>
          <t>Payer:</t>
        </is>
      </c>
      <c r="D6" s="4" t="n"/>
      <c r="E6" s="52" t="n"/>
    </row>
    <row r="7" ht="26" customHeight="1">
      <c r="A7" s="27" t="inlineStr">
        <is>
          <t>Date of audit:</t>
        </is>
      </c>
      <c r="B7" s="109" t="n"/>
    </row>
    <row r="8" ht="32" customHeight="1">
      <c r="A8" s="29" t="inlineStr">
        <is>
          <t>§</t>
        </is>
      </c>
      <c r="B8" s="29" t="inlineStr">
        <is>
          <t>Documentation element</t>
        </is>
      </c>
      <c r="C8" s="29" t="n"/>
      <c r="D8" s="29" t="inlineStr">
        <is>
          <t>Pts</t>
        </is>
      </c>
      <c r="E8" s="29" t="n"/>
    </row>
    <row r="9" ht="30" customHeight="1">
      <c r="A9" s="30" t="inlineStr">
        <is>
          <t xml:space="preserve">  A · Diagnosis Accuracy   (4 items)</t>
        </is>
      </c>
    </row>
    <row r="10" ht="40" customHeight="1">
      <c r="A10" s="31" t="inlineStr">
        <is>
          <t>A1</t>
        </is>
      </c>
      <c r="B10" s="10" t="inlineStr">
        <is>
          <t>All reported diagnoses are clinically supported in the note</t>
        </is>
      </c>
      <c r="C10" s="32" t="n"/>
      <c r="D10" s="33">
        <f>IF(C10="✓ Met",1,IF(C10="△ Partial",0.5,IF(C10="✗ Not Met",0,IF(C10="N/A","",""))))</f>
        <v/>
      </c>
      <c r="E10" s="10" t="n"/>
    </row>
    <row r="11" ht="40" customHeight="1">
      <c r="A11" s="31" t="inlineStr">
        <is>
          <t>A2</t>
        </is>
      </c>
      <c r="B11" s="10" t="inlineStr">
        <is>
          <t>Chronic conditions actively addressed at this visit (not just carried forward)</t>
        </is>
      </c>
      <c r="C11" s="32" t="n"/>
      <c r="D11" s="33">
        <f>IF(C11="✓ Met",1,IF(C11="△ Partial",0.5,IF(C11="✗ Not Met",0,IF(C11="N/A","",""))))</f>
        <v/>
      </c>
      <c r="E11" s="10" t="n"/>
    </row>
    <row r="12" ht="40" customHeight="1">
      <c r="A12" s="31" t="inlineStr">
        <is>
          <t>A3</t>
        </is>
      </c>
      <c r="B12" s="10" t="inlineStr">
        <is>
          <t>No unsupported or resolved conditions billed as active</t>
        </is>
      </c>
      <c r="C12" s="32" t="n"/>
      <c r="D12" s="33">
        <f>IF(C12="✓ Met",1,IF(C12="△ Partial",0.5,IF(C12="✗ Not Met",0,IF(C12="N/A","",""))))</f>
        <v/>
      </c>
      <c r="E12" s="10" t="n"/>
    </row>
    <row r="13" ht="40" customHeight="1">
      <c r="A13" s="31" t="inlineStr">
        <is>
          <t>A4</t>
        </is>
      </c>
      <c r="B13" s="10" t="inlineStr">
        <is>
          <t>Problem list matches today's assessment &amp; plan</t>
        </is>
      </c>
      <c r="C13" s="32" t="n"/>
      <c r="D13" s="33">
        <f>IF(C13="✓ Met",1,IF(C13="△ Partial",0.5,IF(C13="✗ Not Met",0,IF(C13="N/A","",""))))</f>
        <v/>
      </c>
      <c r="E13" s="10" t="n"/>
    </row>
    <row r="14" ht="6" customHeight="1"/>
    <row r="15" ht="30" customHeight="1">
      <c r="A15" s="30" t="inlineStr">
        <is>
          <t xml:space="preserve">  B · Documentation Specificity   (4 items)</t>
        </is>
      </c>
    </row>
    <row r="16" ht="40" customHeight="1">
      <c r="A16" s="31" t="inlineStr">
        <is>
          <t>B1</t>
        </is>
      </c>
      <c r="B16" s="10" t="inlineStr">
        <is>
          <t>ICD-10 codes at highest available specificity (avoid 'unspecified')</t>
        </is>
      </c>
      <c r="C16" s="32" t="n"/>
      <c r="D16" s="33">
        <f>IF(C16="✓ Met",1,IF(C16="△ Partial",0.5,IF(C16="✗ Not Met",0,IF(C16="N/A","",""))))</f>
        <v/>
      </c>
      <c r="E16" s="10" t="n"/>
    </row>
    <row r="17" ht="40" customHeight="1">
      <c r="A17" s="31" t="inlineStr">
        <is>
          <t>B2</t>
        </is>
      </c>
      <c r="B17" s="10" t="inlineStr">
        <is>
          <t>Diabetes: type + complications + control specified</t>
        </is>
      </c>
      <c r="C17" s="32" t="n"/>
      <c r="D17" s="33">
        <f>IF(C17="✓ Met",1,IF(C17="△ Partial",0.5,IF(C17="✗ Not Met",0,IF(C17="N/A","",""))))</f>
        <v/>
      </c>
      <c r="E17" s="10" t="n"/>
    </row>
    <row r="18" ht="40" customHeight="1">
      <c r="A18" s="31" t="inlineStr">
        <is>
          <t>B3</t>
        </is>
      </c>
      <c r="B18" s="10" t="inlineStr">
        <is>
          <t>S / O / A / P sections tell one consistent clinical story</t>
        </is>
      </c>
      <c r="C18" s="32" t="n"/>
      <c r="D18" s="33">
        <f>IF(C18="✓ Met",1,IF(C18="△ Partial",0.5,IF(C18="✗ Not Met",0,IF(C18="N/A","",""))))</f>
        <v/>
      </c>
      <c r="E18" s="10" t="n"/>
    </row>
    <row r="19" ht="40" customHeight="1">
      <c r="A19" s="31" t="inlineStr">
        <is>
          <t>B4</t>
        </is>
      </c>
      <c r="B19" s="10" t="inlineStr">
        <is>
          <t>Note signed, dated, and closed by the rendering provider</t>
        </is>
      </c>
      <c r="C19" s="32" t="n"/>
      <c r="D19" s="33">
        <f>IF(C19="✓ Met",1,IF(C19="△ Partial",0.5,IF(C19="✗ Not Met",0,IF(C19="N/A","",""))))</f>
        <v/>
      </c>
      <c r="E19" s="10" t="n"/>
    </row>
    <row r="20" ht="6" customHeight="1"/>
    <row r="21" ht="30" customHeight="1">
      <c r="A21" s="30" t="inlineStr">
        <is>
          <t xml:space="preserve">  C · SOAP Note Structure   (4 items)</t>
        </is>
      </c>
    </row>
    <row r="22" ht="40" customHeight="1">
      <c r="A22" s="31" t="inlineStr">
        <is>
          <t>C1</t>
        </is>
      </c>
      <c r="B22" s="10" t="inlineStr">
        <is>
          <t>Subjective — patient's history, symptoms, and concerns clearly documented</t>
        </is>
      </c>
      <c r="C22" s="32" t="n"/>
      <c r="D22" s="33">
        <f>IF(C22="✓ Met",1,IF(C22="△ Partial",0.5,IF(C22="✗ Not Met",0,IF(C22="N/A","",""))))</f>
        <v/>
      </c>
      <c r="E22" s="10" t="n"/>
    </row>
    <row r="23" ht="40" customHeight="1">
      <c r="A23" s="31" t="inlineStr">
        <is>
          <t>C2</t>
        </is>
      </c>
      <c r="B23" s="10" t="inlineStr">
        <is>
          <t>Objective — exam findings, vitals, and relevant test results documented</t>
        </is>
      </c>
      <c r="C23" s="32" t="n"/>
      <c r="D23" s="33">
        <f>IF(C23="✓ Met",1,IF(C23="△ Partial",0.5,IF(C23="✗ Not Met",0,IF(C23="N/A","",""))))</f>
        <v/>
      </c>
      <c r="E23" s="10" t="n"/>
    </row>
    <row r="24" ht="40" customHeight="1">
      <c r="A24" s="31" t="inlineStr">
        <is>
          <t>C3</t>
        </is>
      </c>
      <c r="B24" s="10" t="inlineStr">
        <is>
          <t>Assessment — each diagnosis explicitly assessed with clinical reasoning</t>
        </is>
      </c>
      <c r="C24" s="32" t="n"/>
      <c r="D24" s="33">
        <f>IF(C24="✓ Met",1,IF(C24="△ Partial",0.5,IF(C24="✗ Not Met",0,IF(C24="N/A","",""))))</f>
        <v/>
      </c>
      <c r="E24" s="10" t="n"/>
    </row>
    <row r="25" ht="40" customHeight="1">
      <c r="A25" s="31" t="inlineStr">
        <is>
          <t>C4</t>
        </is>
      </c>
      <c r="B25" s="10" t="inlineStr">
        <is>
          <t>Plan — treatment plan documented (medication / referral / testing / follow-up)</t>
        </is>
      </c>
      <c r="C25" s="32" t="n"/>
      <c r="D25" s="33">
        <f>IF(C25="✓ Met",1,IF(C25="△ Partial",0.5,IF(C25="✗ Not Met",0,IF(C25="N/A","",""))))</f>
        <v/>
      </c>
      <c r="E25" s="10" t="n"/>
    </row>
    <row r="26" ht="6" customHeight="1"/>
    <row r="27" ht="30" customHeight="1">
      <c r="A27" s="30" t="inlineStr">
        <is>
          <t xml:space="preserve">  D · HCC Capture   (2 items)</t>
        </is>
      </c>
    </row>
    <row r="28" ht="40" customHeight="1">
      <c r="A28" s="31" t="inlineStr">
        <is>
          <t>D1</t>
        </is>
      </c>
      <c r="B28" s="10" t="inlineStr">
        <is>
          <t>Prior-year HCCs recaptured (or explicitly resolved with rationale)</t>
        </is>
      </c>
      <c r="C28" s="32" t="n"/>
      <c r="D28" s="33">
        <f>IF(C28="✓ Met",1,IF(C28="△ Partial",0.5,IF(C28="✗ Not Met",0,IF(C28="N/A","",""))))</f>
        <v/>
      </c>
      <c r="E28" s="10" t="n"/>
    </row>
    <row r="29" ht="40" customHeight="1">
      <c r="A29" s="31" t="inlineStr">
        <is>
          <t>D2</t>
        </is>
      </c>
      <c r="B29" s="10" t="inlineStr">
        <is>
          <t>Suspected undocumented chronic conditions captured with support</t>
        </is>
      </c>
      <c r="C29" s="32" t="n"/>
      <c r="D29" s="33">
        <f>IF(C29="✓ Met",1,IF(C29="△ Partial",0.5,IF(C29="✗ Not Met",0,IF(C29="N/A","",""))))</f>
        <v/>
      </c>
      <c r="E29" s="10" t="n"/>
    </row>
    <row r="30" ht="6" customHeight="1"/>
    <row r="31" ht="30" customHeight="1">
      <c r="A31" s="30" t="inlineStr">
        <is>
          <t xml:space="preserve">  E · Documentation Supporting Quality Measures   (2 items)</t>
        </is>
      </c>
    </row>
    <row r="32" ht="40" customHeight="1">
      <c r="A32" s="31" t="inlineStr">
        <is>
          <t>E1</t>
        </is>
      </c>
      <c r="B32" s="10" t="inlineStr">
        <is>
          <t>Screening / measure results documented with specific values (PHQ-9, GAD-7, BMI, BP, HbA1c) — not just 'screened' or 'normal'</t>
        </is>
      </c>
      <c r="C32" s="32" t="n"/>
      <c r="D32" s="33">
        <f>IF(C32="✓ Met",1,IF(C32="△ Partial",0.5,IF(C32="✗ Not Met",0,IF(C32="N/A","",""))))</f>
        <v/>
      </c>
      <c r="E32" s="10" t="n"/>
    </row>
    <row r="33" ht="40" customHeight="1">
      <c r="A33" s="31" t="inlineStr">
        <is>
          <t>E2</t>
        </is>
      </c>
      <c r="B33" s="10" t="inlineStr">
        <is>
          <t>Follow-up plan documented when a screening is positive or a result is abnormal (positive PHQ-9 → depression plan; elevated BMI → nutrition counseling)</t>
        </is>
      </c>
      <c r="C33" s="32" t="n"/>
      <c r="D33" s="33">
        <f>IF(C33="✓ Met",1,IF(C33="△ Partial",0.5,IF(C33="✗ Not Met",0,IF(C33="N/A","",""))))</f>
        <v/>
      </c>
      <c r="E33" s="10" t="n"/>
    </row>
    <row r="34" ht="6" customHeight="1"/>
    <row r="36" ht="30" customHeight="1">
      <c r="A36" s="34" t="inlineStr">
        <is>
          <t xml:space="preserve">  SUMMARY</t>
        </is>
      </c>
    </row>
    <row r="37" ht="24" customHeight="1">
      <c r="A37" s="6" t="inlineStr">
        <is>
          <t>§</t>
        </is>
      </c>
      <c r="B37" s="6" t="inlineStr">
        <is>
          <t>Category</t>
        </is>
      </c>
      <c r="C37" s="6" t="n"/>
      <c r="D37" s="6" t="inlineStr">
        <is>
          <t>% Met</t>
        </is>
      </c>
      <c r="E37" s="6" t="inlineStr"/>
    </row>
    <row r="38" ht="24" customHeight="1">
      <c r="A38" s="35" t="inlineStr">
        <is>
          <t>A</t>
        </is>
      </c>
      <c r="B38" s="11" t="inlineStr">
        <is>
          <t>Diagnosis Accuracy</t>
        </is>
      </c>
      <c r="C38" s="36">
        <f>COUNTIF(C10:C13,"✓ Met")+COUNTIF(C10:C13,"△ Partial")+COUNTIF(C10:C13,"✗ Not Met")</f>
        <v/>
      </c>
      <c r="D38" s="37">
        <f>IFERROR(SUM(D10:D13)/C38,"")</f>
        <v/>
      </c>
      <c r="E38" s="14" t="inlineStr"/>
    </row>
    <row r="39" ht="24" customHeight="1">
      <c r="A39" s="35" t="inlineStr">
        <is>
          <t>B</t>
        </is>
      </c>
      <c r="B39" s="11" t="inlineStr">
        <is>
          <t>Documentation Specificity</t>
        </is>
      </c>
      <c r="C39" s="36">
        <f>COUNTIF(C16:C19,"✓ Met")+COUNTIF(C16:C19,"△ Partial")+COUNTIF(C16:C19,"✗ Not Met")</f>
        <v/>
      </c>
      <c r="D39" s="37">
        <f>IFERROR(SUM(D16:D19)/C39,"")</f>
        <v/>
      </c>
      <c r="E39" s="14" t="inlineStr"/>
    </row>
    <row r="40" ht="24" customHeight="1">
      <c r="A40" s="35" t="inlineStr">
        <is>
          <t>C</t>
        </is>
      </c>
      <c r="B40" s="11" t="inlineStr">
        <is>
          <t>SOAP Note Structure</t>
        </is>
      </c>
      <c r="C40" s="36">
        <f>COUNTIF(C22:C25,"✓ Met")+COUNTIF(C22:C25,"△ Partial")+COUNTIF(C22:C25,"✗ Not Met")</f>
        <v/>
      </c>
      <c r="D40" s="37">
        <f>IFERROR(SUM(D22:D25)/C40,"")</f>
        <v/>
      </c>
      <c r="E40" s="14" t="inlineStr"/>
    </row>
    <row r="41" ht="24" customHeight="1">
      <c r="A41" s="35" t="inlineStr">
        <is>
          <t>D</t>
        </is>
      </c>
      <c r="B41" s="11" t="inlineStr">
        <is>
          <t>HCC Capture</t>
        </is>
      </c>
      <c r="C41" s="36">
        <f>COUNTIF(C28:C29,"✓ Met")+COUNTIF(C28:C29,"△ Partial")+COUNTIF(C28:C29,"✗ Not Met")</f>
        <v/>
      </c>
      <c r="D41" s="37">
        <f>IFERROR(SUM(D28:D29)/C41,"")</f>
        <v/>
      </c>
      <c r="E41" s="14" t="inlineStr"/>
    </row>
    <row r="42" ht="24" customHeight="1">
      <c r="A42" s="35" t="inlineStr">
        <is>
          <t>E</t>
        </is>
      </c>
      <c r="B42" s="11" t="inlineStr">
        <is>
          <t>Documentation Supporting Quality Measures</t>
        </is>
      </c>
      <c r="C42" s="36">
        <f>COUNTIF(C32:C33,"✓ Met")+COUNTIF(C32:C33,"△ Partial")+COUNTIF(C32:C33,"✗ Not Met")</f>
        <v/>
      </c>
      <c r="D42" s="37">
        <f>IFERROR(SUM(D32:D33)/C42,"")</f>
        <v/>
      </c>
      <c r="E42" s="14" t="inlineStr"/>
    </row>
    <row r="44" ht="44" customHeight="1">
      <c r="A44" s="38" t="inlineStr">
        <is>
          <t xml:space="preserve">  OVERALL COMPLIANCE</t>
        </is>
      </c>
      <c r="D44" s="39">
        <f>IFERROR(SUMPRODUCT(D38:D42,C38:C42)/SUM(C38:C42),"")</f>
        <v/>
      </c>
      <c r="E44" s="17" t="n"/>
    </row>
    <row r="45" ht="32" customHeight="1">
      <c r="A45" s="40" t="inlineStr">
        <is>
          <t xml:space="preserve">  PERFORMANCE BAND</t>
        </is>
      </c>
      <c r="B45" s="53" t="n"/>
      <c r="C45" s="54" t="n"/>
      <c r="D45" s="18">
        <f>IF(D44="","",IF(D44&gt;=0.95,"Excellent",IF(D44&gt;=0.90,"Meets Expectations",IF(D44&gt;=0.80,"Needs Improvement","Corrective Education Required"))))</f>
        <v/>
      </c>
      <c r="E45" s="14" t="n"/>
    </row>
    <row r="46" ht="28" customHeight="1">
      <c r="A46" s="62" t="n"/>
      <c r="B46" s="62" t="n"/>
      <c r="C46" s="62" t="n"/>
      <c r="D46" s="62" t="n"/>
      <c r="E46" s="62" t="n"/>
      <c r="F46" s="62" t="n"/>
      <c r="G46" s="62" t="n"/>
      <c r="H46" s="62" t="n"/>
      <c r="I46" s="62" t="n"/>
    </row>
    <row r="47" ht="30" customHeight="1">
      <c r="A47" s="62" t="n"/>
      <c r="B47" s="62" t="n"/>
      <c r="C47" s="62" t="n"/>
      <c r="D47" s="62" t="n"/>
      <c r="E47" s="62" t="n"/>
      <c r="F47" s="62" t="n"/>
      <c r="G47" s="62" t="n"/>
      <c r="H47" s="62" t="n"/>
      <c r="I47" s="62" t="n"/>
    </row>
    <row r="48">
      <c r="A48" s="62" t="n"/>
      <c r="B48" s="62" t="n"/>
      <c r="C48" s="62" t="n"/>
      <c r="D48" s="62" t="n"/>
      <c r="E48" s="62" t="n"/>
      <c r="F48" s="62" t="n"/>
      <c r="G48" s="62" t="n"/>
      <c r="H48" s="62" t="n"/>
      <c r="I48" s="62" t="n"/>
    </row>
    <row r="49" ht="26" customHeight="1">
      <c r="A49" s="62" t="n"/>
      <c r="B49" s="62" t="n"/>
      <c r="C49" s="62" t="n"/>
      <c r="D49" s="62" t="n"/>
      <c r="E49" s="62" t="n"/>
      <c r="F49" s="62" t="n"/>
      <c r="G49" s="62" t="n"/>
      <c r="H49" s="62" t="n"/>
      <c r="I49" s="62" t="n"/>
    </row>
    <row r="50">
      <c r="A50" s="62" t="n"/>
      <c r="B50" s="62" t="n"/>
      <c r="C50" s="62" t="n"/>
      <c r="D50" s="62" t="n"/>
      <c r="E50" s="62" t="n"/>
      <c r="F50" s="62" t="n"/>
      <c r="G50" s="62" t="n"/>
      <c r="H50" s="62" t="n"/>
      <c r="I50" s="62" t="n"/>
    </row>
    <row r="51" ht="28" customHeight="1">
      <c r="A51" s="62" t="n"/>
      <c r="B51" s="62" t="n"/>
      <c r="C51" s="62" t="n"/>
      <c r="D51" s="62" t="n"/>
      <c r="E51" s="62" t="n"/>
      <c r="F51" s="62" t="n"/>
      <c r="G51" s="62" t="n"/>
      <c r="H51" s="62" t="n"/>
      <c r="I51" s="62" t="n"/>
    </row>
    <row r="52" ht="30" customHeight="1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</row>
  </sheetData>
  <mergeCells count="11">
    <mergeCell ref="A21:E21"/>
    <mergeCell ref="A44:C44"/>
    <mergeCell ref="A2:E2"/>
    <mergeCell ref="A45:C45"/>
    <mergeCell ref="A15:E15"/>
    <mergeCell ref="E4:E6"/>
    <mergeCell ref="A1:E1"/>
    <mergeCell ref="A36:E36"/>
    <mergeCell ref="A31:E31"/>
    <mergeCell ref="A9:E9"/>
    <mergeCell ref="A27:E27"/>
  </mergeCells>
  <dataValidations count="3">
    <dataValidation sqref="B6" showDropDown="0" showInputMessage="0" showErrorMessage="0" allowBlank="1" type="list">
      <formula1>"Diabetes,Chronic Kidney Disease,Annual Wellness Visit,High RAF Patient,Random Selection"</formula1>
    </dataValidation>
    <dataValidation sqref="D6" showDropDown="0" showInputMessage="0" showErrorMessage="0" allowBlank="1" type="list">
      <formula1>"Medicare Advantage,Commercial,Medicaid,Dual"</formula1>
    </dataValidation>
    <dataValidation sqref="C10:C34" showDropDown="0" showInputMessage="0" showErrorMessage="0" allowBlank="1" type="list">
      <formula1>"✓ Met,△ Partial,✗ Not Met,N/A"</formula1>
    </dataValidation>
  </dataValidations>
  <printOptions horizontalCentered="1"/>
  <pageMargins left="0.3" right="0.3" top="0.4" bottom="0.4" header="0.5" footer="0.5"/>
  <pageSetup orientation="portrait" paperSize="1" fitToHeight="1" fitToWidth="1"/>
</worksheet>
</file>

<file path=xl/worksheets/sheet10.xml><?xml version="1.0" encoding="utf-8"?>
<worksheet xmlns="http://schemas.openxmlformats.org/spreadsheetml/2006/main">
  <sheetPr>
    <tabColor rgb="001E7A6E"/>
    <outlinePr summaryBelow="1" summaryRight="1"/>
    <pageSetUpPr fitToPage="1"/>
  </sheetPr>
  <dimension ref="A1:I52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  <col width="10" customWidth="1" min="4" max="4"/>
    <col width="42" customWidth="1" min="5" max="5"/>
  </cols>
  <sheetData>
    <row r="1" ht="42" customHeight="1">
      <c r="A1" s="25" t="inlineStr">
        <is>
          <t>Clinical Documentation Audit</t>
        </is>
      </c>
    </row>
    <row r="2" ht="26" customHeight="1">
      <c r="A2" s="26" t="inlineStr">
        <is>
          <t>One chart per sheet · tick each item · scoring &amp; rating are automatic</t>
        </is>
      </c>
    </row>
    <row r="3" ht="8" customHeight="1"/>
    <row r="4" ht="28" customHeight="1">
      <c r="A4" s="27" t="inlineStr">
        <is>
          <t>Provider:</t>
        </is>
      </c>
      <c r="B4" s="4" t="n"/>
      <c r="C4" s="27" t="inlineStr">
        <is>
          <t>Date of Service:</t>
        </is>
      </c>
      <c r="D4" s="4" t="n"/>
      <c r="E4" s="28" t="inlineStr">
        <is>
          <t>How to audit a claim
1. Click a Claim 01–10 tab (bottom of the workbook)
2. Fill yellow header + ratings — auto-scores
3. Move to the next Claim tab · repeat
Global metrics roll up automatically
• Open the Provider Metrics tab — it pulls the 10 claim scores
  live from the Claim tabs so you see the running provider average.
Start a new provider (after 10 claims)
1. Ctrl+click Claim 01 through Claim 10 to group them
2. Select the yellow header + rating + note cells on any tab
3. Press Delete → all 10 tabs clear at once
4. Right-click any tab → Ungroup Sheets</t>
        </is>
      </c>
    </row>
    <row r="5" ht="26" customHeight="1">
      <c r="A5" s="27" t="inlineStr">
        <is>
          <t>Claim Number:</t>
        </is>
      </c>
      <c r="B5" s="110" t="n"/>
      <c r="C5" s="27" t="inlineStr">
        <is>
          <t>Auditor:</t>
        </is>
      </c>
      <c r="D5" s="4" t="n"/>
      <c r="E5" s="51" t="n"/>
    </row>
    <row r="6" ht="28" customHeight="1">
      <c r="A6" s="27" t="inlineStr">
        <is>
          <t>Category:</t>
        </is>
      </c>
      <c r="B6" s="4" t="n"/>
      <c r="C6" s="27" t="inlineStr">
        <is>
          <t>Payer:</t>
        </is>
      </c>
      <c r="D6" s="4" t="n"/>
      <c r="E6" s="52" t="n"/>
    </row>
    <row r="7" ht="26" customHeight="1">
      <c r="A7" s="27" t="inlineStr">
        <is>
          <t>Date of audit:</t>
        </is>
      </c>
      <c r="B7" s="109" t="n"/>
    </row>
    <row r="8" ht="32" customHeight="1">
      <c r="A8" s="29" t="inlineStr">
        <is>
          <t>§</t>
        </is>
      </c>
      <c r="B8" s="29" t="inlineStr">
        <is>
          <t>Documentation element</t>
        </is>
      </c>
      <c r="C8" s="29" t="n"/>
      <c r="D8" s="29" t="inlineStr">
        <is>
          <t>Pts</t>
        </is>
      </c>
      <c r="E8" s="29" t="n"/>
    </row>
    <row r="9" ht="30" customHeight="1">
      <c r="A9" s="30" t="inlineStr">
        <is>
          <t xml:space="preserve">  A · Diagnosis Accuracy   (4 items)</t>
        </is>
      </c>
    </row>
    <row r="10" ht="40" customHeight="1">
      <c r="A10" s="31" t="inlineStr">
        <is>
          <t>A1</t>
        </is>
      </c>
      <c r="B10" s="10" t="inlineStr">
        <is>
          <t>All reported diagnoses are clinically supported in the note</t>
        </is>
      </c>
      <c r="C10" s="32" t="n"/>
      <c r="D10" s="33">
        <f>IF(C10="✓ Met",1,IF(C10="△ Partial",0.5,IF(C10="✗ Not Met",0,IF(C10="N/A","",""))))</f>
        <v/>
      </c>
      <c r="E10" s="10" t="n"/>
    </row>
    <row r="11" ht="40" customHeight="1">
      <c r="A11" s="31" t="inlineStr">
        <is>
          <t>A2</t>
        </is>
      </c>
      <c r="B11" s="10" t="inlineStr">
        <is>
          <t>Chronic conditions actively addressed at this visit (not just carried forward)</t>
        </is>
      </c>
      <c r="C11" s="32" t="n"/>
      <c r="D11" s="33">
        <f>IF(C11="✓ Met",1,IF(C11="△ Partial",0.5,IF(C11="✗ Not Met",0,IF(C11="N/A","",""))))</f>
        <v/>
      </c>
      <c r="E11" s="10" t="n"/>
    </row>
    <row r="12" ht="40" customHeight="1">
      <c r="A12" s="31" t="inlineStr">
        <is>
          <t>A3</t>
        </is>
      </c>
      <c r="B12" s="10" t="inlineStr">
        <is>
          <t>No unsupported or resolved conditions billed as active</t>
        </is>
      </c>
      <c r="C12" s="32" t="n"/>
      <c r="D12" s="33">
        <f>IF(C12="✓ Met",1,IF(C12="△ Partial",0.5,IF(C12="✗ Not Met",0,IF(C12="N/A","",""))))</f>
        <v/>
      </c>
      <c r="E12" s="10" t="n"/>
    </row>
    <row r="13" ht="40" customHeight="1">
      <c r="A13" s="31" t="inlineStr">
        <is>
          <t>A4</t>
        </is>
      </c>
      <c r="B13" s="10" t="inlineStr">
        <is>
          <t>Problem list matches today's assessment &amp; plan</t>
        </is>
      </c>
      <c r="C13" s="32" t="n"/>
      <c r="D13" s="33">
        <f>IF(C13="✓ Met",1,IF(C13="△ Partial",0.5,IF(C13="✗ Not Met",0,IF(C13="N/A","",""))))</f>
        <v/>
      </c>
      <c r="E13" s="10" t="n"/>
    </row>
    <row r="14" ht="6" customHeight="1"/>
    <row r="15" ht="30" customHeight="1">
      <c r="A15" s="30" t="inlineStr">
        <is>
          <t xml:space="preserve">  B · Documentation Specificity   (4 items)</t>
        </is>
      </c>
    </row>
    <row r="16" ht="40" customHeight="1">
      <c r="A16" s="31" t="inlineStr">
        <is>
          <t>B1</t>
        </is>
      </c>
      <c r="B16" s="10" t="inlineStr">
        <is>
          <t>ICD-10 codes at highest available specificity (avoid 'unspecified')</t>
        </is>
      </c>
      <c r="C16" s="32" t="n"/>
      <c r="D16" s="33">
        <f>IF(C16="✓ Met",1,IF(C16="△ Partial",0.5,IF(C16="✗ Not Met",0,IF(C16="N/A","",""))))</f>
        <v/>
      </c>
      <c r="E16" s="10" t="n"/>
    </row>
    <row r="17" ht="40" customHeight="1">
      <c r="A17" s="31" t="inlineStr">
        <is>
          <t>B2</t>
        </is>
      </c>
      <c r="B17" s="10" t="inlineStr">
        <is>
          <t>Diabetes: type + complications + control specified</t>
        </is>
      </c>
      <c r="C17" s="32" t="n"/>
      <c r="D17" s="33">
        <f>IF(C17="✓ Met",1,IF(C17="△ Partial",0.5,IF(C17="✗ Not Met",0,IF(C17="N/A","",""))))</f>
        <v/>
      </c>
      <c r="E17" s="10" t="n"/>
    </row>
    <row r="18" ht="40" customHeight="1">
      <c r="A18" s="31" t="inlineStr">
        <is>
          <t>B3</t>
        </is>
      </c>
      <c r="B18" s="10" t="inlineStr">
        <is>
          <t>S / O / A / P sections tell one consistent clinical story</t>
        </is>
      </c>
      <c r="C18" s="32" t="n"/>
      <c r="D18" s="33">
        <f>IF(C18="✓ Met",1,IF(C18="△ Partial",0.5,IF(C18="✗ Not Met",0,IF(C18="N/A","",""))))</f>
        <v/>
      </c>
      <c r="E18" s="10" t="n"/>
    </row>
    <row r="19" ht="40" customHeight="1">
      <c r="A19" s="31" t="inlineStr">
        <is>
          <t>B4</t>
        </is>
      </c>
      <c r="B19" s="10" t="inlineStr">
        <is>
          <t>Note signed, dated, and closed by the rendering provider</t>
        </is>
      </c>
      <c r="C19" s="32" t="n"/>
      <c r="D19" s="33">
        <f>IF(C19="✓ Met",1,IF(C19="△ Partial",0.5,IF(C19="✗ Not Met",0,IF(C19="N/A","",""))))</f>
        <v/>
      </c>
      <c r="E19" s="10" t="n"/>
    </row>
    <row r="20" ht="6" customHeight="1"/>
    <row r="21" ht="30" customHeight="1">
      <c r="A21" s="30" t="inlineStr">
        <is>
          <t xml:space="preserve">  C · SOAP Note Structure   (4 items)</t>
        </is>
      </c>
    </row>
    <row r="22" ht="40" customHeight="1">
      <c r="A22" s="31" t="inlineStr">
        <is>
          <t>C1</t>
        </is>
      </c>
      <c r="B22" s="10" t="inlineStr">
        <is>
          <t>Subjective — patient's history, symptoms, and concerns clearly documented</t>
        </is>
      </c>
      <c r="C22" s="32" t="n"/>
      <c r="D22" s="33">
        <f>IF(C22="✓ Met",1,IF(C22="△ Partial",0.5,IF(C22="✗ Not Met",0,IF(C22="N/A","",""))))</f>
        <v/>
      </c>
      <c r="E22" s="10" t="n"/>
    </row>
    <row r="23" ht="40" customHeight="1">
      <c r="A23" s="31" t="inlineStr">
        <is>
          <t>C2</t>
        </is>
      </c>
      <c r="B23" s="10" t="inlineStr">
        <is>
          <t>Objective — exam findings, vitals, and relevant test results documented</t>
        </is>
      </c>
      <c r="C23" s="32" t="n"/>
      <c r="D23" s="33">
        <f>IF(C23="✓ Met",1,IF(C23="△ Partial",0.5,IF(C23="✗ Not Met",0,IF(C23="N/A","",""))))</f>
        <v/>
      </c>
      <c r="E23" s="10" t="n"/>
    </row>
    <row r="24" ht="40" customHeight="1">
      <c r="A24" s="31" t="inlineStr">
        <is>
          <t>C3</t>
        </is>
      </c>
      <c r="B24" s="10" t="inlineStr">
        <is>
          <t>Assessment — each diagnosis explicitly assessed with clinical reasoning</t>
        </is>
      </c>
      <c r="C24" s="32" t="n"/>
      <c r="D24" s="33">
        <f>IF(C24="✓ Met",1,IF(C24="△ Partial",0.5,IF(C24="✗ Not Met",0,IF(C24="N/A","",""))))</f>
        <v/>
      </c>
      <c r="E24" s="10" t="n"/>
    </row>
    <row r="25" ht="40" customHeight="1">
      <c r="A25" s="31" t="inlineStr">
        <is>
          <t>C4</t>
        </is>
      </c>
      <c r="B25" s="10" t="inlineStr">
        <is>
          <t>Plan — treatment plan documented (medication / referral / testing / follow-up)</t>
        </is>
      </c>
      <c r="C25" s="32" t="n"/>
      <c r="D25" s="33">
        <f>IF(C25="✓ Met",1,IF(C25="△ Partial",0.5,IF(C25="✗ Not Met",0,IF(C25="N/A","",""))))</f>
        <v/>
      </c>
      <c r="E25" s="10" t="n"/>
    </row>
    <row r="26" ht="6" customHeight="1"/>
    <row r="27" ht="30" customHeight="1">
      <c r="A27" s="30" t="inlineStr">
        <is>
          <t xml:space="preserve">  D · HCC Capture   (2 items)</t>
        </is>
      </c>
    </row>
    <row r="28" ht="40" customHeight="1">
      <c r="A28" s="31" t="inlineStr">
        <is>
          <t>D1</t>
        </is>
      </c>
      <c r="B28" s="10" t="inlineStr">
        <is>
          <t>Prior-year HCCs recaptured (or explicitly resolved with rationale)</t>
        </is>
      </c>
      <c r="C28" s="32" t="n"/>
      <c r="D28" s="33">
        <f>IF(C28="✓ Met",1,IF(C28="△ Partial",0.5,IF(C28="✗ Not Met",0,IF(C28="N/A","",""))))</f>
        <v/>
      </c>
      <c r="E28" s="10" t="n"/>
    </row>
    <row r="29" ht="40" customHeight="1">
      <c r="A29" s="31" t="inlineStr">
        <is>
          <t>D2</t>
        </is>
      </c>
      <c r="B29" s="10" t="inlineStr">
        <is>
          <t>Suspected undocumented chronic conditions captured with support</t>
        </is>
      </c>
      <c r="C29" s="32" t="n"/>
      <c r="D29" s="33">
        <f>IF(C29="✓ Met",1,IF(C29="△ Partial",0.5,IF(C29="✗ Not Met",0,IF(C29="N/A","",""))))</f>
        <v/>
      </c>
      <c r="E29" s="10" t="n"/>
    </row>
    <row r="30" ht="6" customHeight="1"/>
    <row r="31" ht="30" customHeight="1">
      <c r="A31" s="30" t="inlineStr">
        <is>
          <t xml:space="preserve">  E · Documentation Supporting Quality Measures   (2 items)</t>
        </is>
      </c>
    </row>
    <row r="32" ht="40" customHeight="1">
      <c r="A32" s="31" t="inlineStr">
        <is>
          <t>E1</t>
        </is>
      </c>
      <c r="B32" s="10" t="inlineStr">
        <is>
          <t>Screening / measure results documented with specific values (PHQ-9, GAD-7, BMI, BP, HbA1c) — not just 'screened' or 'normal'</t>
        </is>
      </c>
      <c r="C32" s="32" t="n"/>
      <c r="D32" s="33">
        <f>IF(C32="✓ Met",1,IF(C32="△ Partial",0.5,IF(C32="✗ Not Met",0,IF(C32="N/A","",""))))</f>
        <v/>
      </c>
      <c r="E32" s="10" t="n"/>
    </row>
    <row r="33" ht="40" customHeight="1">
      <c r="A33" s="31" t="inlineStr">
        <is>
          <t>E2</t>
        </is>
      </c>
      <c r="B33" s="10" t="inlineStr">
        <is>
          <t>Follow-up plan documented when a screening is positive or a result is abnormal (positive PHQ-9 → depression plan; elevated BMI → nutrition counseling)</t>
        </is>
      </c>
      <c r="C33" s="32" t="n"/>
      <c r="D33" s="33">
        <f>IF(C33="✓ Met",1,IF(C33="△ Partial",0.5,IF(C33="✗ Not Met",0,IF(C33="N/A","",""))))</f>
        <v/>
      </c>
      <c r="E33" s="10" t="n"/>
    </row>
    <row r="34" ht="6" customHeight="1"/>
    <row r="36" ht="30" customHeight="1">
      <c r="A36" s="34" t="inlineStr">
        <is>
          <t xml:space="preserve">  SUMMARY</t>
        </is>
      </c>
    </row>
    <row r="37" ht="24" customHeight="1">
      <c r="A37" s="6" t="inlineStr">
        <is>
          <t>§</t>
        </is>
      </c>
      <c r="B37" s="6" t="inlineStr">
        <is>
          <t>Category</t>
        </is>
      </c>
      <c r="C37" s="6" t="n"/>
      <c r="D37" s="6" t="inlineStr">
        <is>
          <t>% Met</t>
        </is>
      </c>
      <c r="E37" s="6" t="inlineStr"/>
    </row>
    <row r="38" ht="24" customHeight="1">
      <c r="A38" s="35" t="inlineStr">
        <is>
          <t>A</t>
        </is>
      </c>
      <c r="B38" s="11" t="inlineStr">
        <is>
          <t>Diagnosis Accuracy</t>
        </is>
      </c>
      <c r="C38" s="36">
        <f>COUNTIF(C10:C13,"✓ Met")+COUNTIF(C10:C13,"△ Partial")+COUNTIF(C10:C13,"✗ Not Met")</f>
        <v/>
      </c>
      <c r="D38" s="37">
        <f>IFERROR(SUM(D10:D13)/C38,"")</f>
        <v/>
      </c>
      <c r="E38" s="14" t="inlineStr"/>
    </row>
    <row r="39" ht="24" customHeight="1">
      <c r="A39" s="35" t="inlineStr">
        <is>
          <t>B</t>
        </is>
      </c>
      <c r="B39" s="11" t="inlineStr">
        <is>
          <t>Documentation Specificity</t>
        </is>
      </c>
      <c r="C39" s="36">
        <f>COUNTIF(C16:C19,"✓ Met")+COUNTIF(C16:C19,"△ Partial")+COUNTIF(C16:C19,"✗ Not Met")</f>
        <v/>
      </c>
      <c r="D39" s="37">
        <f>IFERROR(SUM(D16:D19)/C39,"")</f>
        <v/>
      </c>
      <c r="E39" s="14" t="inlineStr"/>
    </row>
    <row r="40" ht="24" customHeight="1">
      <c r="A40" s="35" t="inlineStr">
        <is>
          <t>C</t>
        </is>
      </c>
      <c r="B40" s="11" t="inlineStr">
        <is>
          <t>SOAP Note Structure</t>
        </is>
      </c>
      <c r="C40" s="36">
        <f>COUNTIF(C22:C25,"✓ Met")+COUNTIF(C22:C25,"△ Partial")+COUNTIF(C22:C25,"✗ Not Met")</f>
        <v/>
      </c>
      <c r="D40" s="37">
        <f>IFERROR(SUM(D22:D25)/C40,"")</f>
        <v/>
      </c>
      <c r="E40" s="14" t="inlineStr"/>
    </row>
    <row r="41" ht="24" customHeight="1">
      <c r="A41" s="35" t="inlineStr">
        <is>
          <t>D</t>
        </is>
      </c>
      <c r="B41" s="11" t="inlineStr">
        <is>
          <t>HCC Capture</t>
        </is>
      </c>
      <c r="C41" s="36">
        <f>COUNTIF(C28:C29,"✓ Met")+COUNTIF(C28:C29,"△ Partial")+COUNTIF(C28:C29,"✗ Not Met")</f>
        <v/>
      </c>
      <c r="D41" s="37">
        <f>IFERROR(SUM(D28:D29)/C41,"")</f>
        <v/>
      </c>
      <c r="E41" s="14" t="inlineStr"/>
    </row>
    <row r="42" ht="24" customHeight="1">
      <c r="A42" s="35" t="inlineStr">
        <is>
          <t>E</t>
        </is>
      </c>
      <c r="B42" s="11" t="inlineStr">
        <is>
          <t>Documentation Supporting Quality Measures</t>
        </is>
      </c>
      <c r="C42" s="36">
        <f>COUNTIF(C32:C33,"✓ Met")+COUNTIF(C32:C33,"△ Partial")+COUNTIF(C32:C33,"✗ Not Met")</f>
        <v/>
      </c>
      <c r="D42" s="37">
        <f>IFERROR(SUM(D32:D33)/C42,"")</f>
        <v/>
      </c>
      <c r="E42" s="14" t="inlineStr"/>
    </row>
    <row r="44" ht="44" customHeight="1">
      <c r="A44" s="38" t="inlineStr">
        <is>
          <t xml:space="preserve">  OVERALL COMPLIANCE</t>
        </is>
      </c>
      <c r="D44" s="39">
        <f>IFERROR(SUMPRODUCT(D38:D42,C38:C42)/SUM(C38:C42),"")</f>
        <v/>
      </c>
      <c r="E44" s="17" t="n"/>
    </row>
    <row r="45" ht="32" customHeight="1">
      <c r="A45" s="40" t="inlineStr">
        <is>
          <t xml:space="preserve">  PERFORMANCE BAND</t>
        </is>
      </c>
      <c r="B45" s="53" t="n"/>
      <c r="C45" s="54" t="n"/>
      <c r="D45" s="18">
        <f>IF(D44="","",IF(D44&gt;=0.95,"Excellent",IF(D44&gt;=0.90,"Meets Expectations",IF(D44&gt;=0.80,"Needs Improvement","Corrective Education Required"))))</f>
        <v/>
      </c>
      <c r="E45" s="14" t="n"/>
    </row>
    <row r="46" ht="28" customHeight="1">
      <c r="A46" s="62" t="n"/>
      <c r="B46" s="62" t="n"/>
      <c r="C46" s="62" t="n"/>
      <c r="D46" s="62" t="n"/>
      <c r="E46" s="62" t="n"/>
      <c r="F46" s="62" t="n"/>
      <c r="G46" s="62" t="n"/>
      <c r="H46" s="62" t="n"/>
      <c r="I46" s="62" t="n"/>
    </row>
    <row r="47" ht="30" customHeight="1">
      <c r="A47" s="62" t="n"/>
      <c r="B47" s="62" t="n"/>
      <c r="C47" s="62" t="n"/>
      <c r="D47" s="62" t="n"/>
      <c r="E47" s="62" t="n"/>
      <c r="F47" s="62" t="n"/>
      <c r="G47" s="62" t="n"/>
      <c r="H47" s="62" t="n"/>
      <c r="I47" s="62" t="n"/>
    </row>
    <row r="48">
      <c r="A48" s="62" t="n"/>
      <c r="B48" s="62" t="n"/>
      <c r="C48" s="62" t="n"/>
      <c r="D48" s="62" t="n"/>
      <c r="E48" s="62" t="n"/>
      <c r="F48" s="62" t="n"/>
      <c r="G48" s="62" t="n"/>
      <c r="H48" s="62" t="n"/>
      <c r="I48" s="62" t="n"/>
    </row>
    <row r="49" ht="26" customHeight="1">
      <c r="A49" s="62" t="n"/>
      <c r="B49" s="62" t="n"/>
      <c r="C49" s="62" t="n"/>
      <c r="D49" s="62" t="n"/>
      <c r="E49" s="62" t="n"/>
      <c r="F49" s="62" t="n"/>
      <c r="G49" s="62" t="n"/>
      <c r="H49" s="62" t="n"/>
      <c r="I49" s="62" t="n"/>
    </row>
    <row r="50">
      <c r="A50" s="62" t="n"/>
      <c r="B50" s="62" t="n"/>
      <c r="C50" s="62" t="n"/>
      <c r="D50" s="62" t="n"/>
      <c r="E50" s="62" t="n"/>
      <c r="F50" s="62" t="n"/>
      <c r="G50" s="62" t="n"/>
      <c r="H50" s="62" t="n"/>
      <c r="I50" s="62" t="n"/>
    </row>
    <row r="51" ht="28" customHeight="1">
      <c r="A51" s="62" t="n"/>
      <c r="B51" s="62" t="n"/>
      <c r="C51" s="62" t="n"/>
      <c r="D51" s="62" t="n"/>
      <c r="E51" s="62" t="n"/>
      <c r="F51" s="62" t="n"/>
      <c r="G51" s="62" t="n"/>
      <c r="H51" s="62" t="n"/>
      <c r="I51" s="62" t="n"/>
    </row>
    <row r="52" ht="30" customHeight="1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</row>
  </sheetData>
  <mergeCells count="11">
    <mergeCell ref="A21:E21"/>
    <mergeCell ref="A44:C44"/>
    <mergeCell ref="A2:E2"/>
    <mergeCell ref="A45:C45"/>
    <mergeCell ref="A15:E15"/>
    <mergeCell ref="E4:E6"/>
    <mergeCell ref="A1:E1"/>
    <mergeCell ref="A36:E36"/>
    <mergeCell ref="A31:E31"/>
    <mergeCell ref="A9:E9"/>
    <mergeCell ref="A27:E27"/>
  </mergeCells>
  <dataValidations count="3">
    <dataValidation sqref="B6" showDropDown="0" showInputMessage="0" showErrorMessage="0" allowBlank="1" type="list">
      <formula1>"Diabetes,Chronic Kidney Disease,Annual Wellness Visit,High RAF Patient,Random Selection"</formula1>
    </dataValidation>
    <dataValidation sqref="D6" showDropDown="0" showInputMessage="0" showErrorMessage="0" allowBlank="1" type="list">
      <formula1>"Medicare Advantage,Commercial,Medicaid,Dual"</formula1>
    </dataValidation>
    <dataValidation sqref="C10:C34" showDropDown="0" showInputMessage="0" showErrorMessage="0" allowBlank="1" type="list">
      <formula1>"✓ Met,△ Partial,✗ Not Met,N/A"</formula1>
    </dataValidation>
  </dataValidations>
  <printOptions horizontalCentered="1"/>
  <pageMargins left="0.3" right="0.3" top="0.4" bottom="0.4" header="0.5" footer="0.5"/>
  <pageSetup orientation="portrait" paperSize="1" fitToHeight="1" fitToWidth="1"/>
</worksheet>
</file>

<file path=xl/worksheets/sheet11.xml><?xml version="1.0" encoding="utf-8"?>
<worksheet xmlns="http://schemas.openxmlformats.org/spreadsheetml/2006/main">
  <sheetPr>
    <tabColor rgb="001E7A6E"/>
    <outlinePr summaryBelow="1" summaryRight="1"/>
    <pageSetUpPr fitToPage="1"/>
  </sheetPr>
  <dimension ref="A1:I52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  <col width="10" customWidth="1" min="4" max="4"/>
    <col width="42" customWidth="1" min="5" max="5"/>
  </cols>
  <sheetData>
    <row r="1" ht="42" customHeight="1">
      <c r="A1" s="25" t="inlineStr">
        <is>
          <t>Clinical Documentation Audit</t>
        </is>
      </c>
    </row>
    <row r="2" ht="26" customHeight="1">
      <c r="A2" s="26" t="inlineStr">
        <is>
          <t>One chart per sheet · tick each item · scoring &amp; rating are automatic</t>
        </is>
      </c>
    </row>
    <row r="3" ht="8" customHeight="1"/>
    <row r="4" ht="28" customHeight="1">
      <c r="A4" s="27" t="inlineStr">
        <is>
          <t>Provider:</t>
        </is>
      </c>
      <c r="B4" s="4" t="n"/>
      <c r="C4" s="27" t="inlineStr">
        <is>
          <t>Date of Service:</t>
        </is>
      </c>
      <c r="D4" s="4" t="n"/>
      <c r="E4" s="28" t="inlineStr">
        <is>
          <t>How to audit a claim
1. Click a Claim 01–10 tab (bottom of the workbook)
2. Fill yellow header + ratings — auto-scores
3. Move to the next Claim tab · repeat
Global metrics roll up automatically
• Open the Provider Metrics tab — it pulls the 10 claim scores
  live from the Claim tabs so you see the running provider average.
Start a new provider (after 10 claims)
1. Ctrl+click Claim 01 through Claim 10 to group them
2. Select the yellow header + rating + note cells on any tab
3. Press Delete → all 10 tabs clear at once
4. Right-click any tab → Ungroup Sheets</t>
        </is>
      </c>
    </row>
    <row r="5" ht="26" customHeight="1">
      <c r="A5" s="27" t="inlineStr">
        <is>
          <t>Claim Number:</t>
        </is>
      </c>
      <c r="B5" s="110" t="n"/>
      <c r="C5" s="27" t="inlineStr">
        <is>
          <t>Auditor:</t>
        </is>
      </c>
      <c r="D5" s="4" t="n"/>
      <c r="E5" s="51" t="n"/>
    </row>
    <row r="6" ht="28" customHeight="1">
      <c r="A6" s="27" t="inlineStr">
        <is>
          <t>Category:</t>
        </is>
      </c>
      <c r="B6" s="4" t="n"/>
      <c r="C6" s="27" t="inlineStr">
        <is>
          <t>Payer:</t>
        </is>
      </c>
      <c r="D6" s="4" t="n"/>
      <c r="E6" s="52" t="n"/>
    </row>
    <row r="7" ht="26" customHeight="1">
      <c r="A7" s="27" t="inlineStr">
        <is>
          <t>Date of audit:</t>
        </is>
      </c>
      <c r="B7" s="109" t="n"/>
    </row>
    <row r="8" ht="32" customHeight="1">
      <c r="A8" s="29" t="inlineStr">
        <is>
          <t>§</t>
        </is>
      </c>
      <c r="B8" s="29" t="inlineStr">
        <is>
          <t>Documentation element</t>
        </is>
      </c>
      <c r="C8" s="29" t="n"/>
      <c r="D8" s="29" t="inlineStr">
        <is>
          <t>Pts</t>
        </is>
      </c>
      <c r="E8" s="29" t="n"/>
    </row>
    <row r="9" ht="30" customHeight="1">
      <c r="A9" s="30" t="inlineStr">
        <is>
          <t xml:space="preserve">  A · Diagnosis Accuracy   (4 items)</t>
        </is>
      </c>
    </row>
    <row r="10" ht="40" customHeight="1">
      <c r="A10" s="31" t="inlineStr">
        <is>
          <t>A1</t>
        </is>
      </c>
      <c r="B10" s="10" t="inlineStr">
        <is>
          <t>All reported diagnoses are clinically supported in the note</t>
        </is>
      </c>
      <c r="C10" s="32" t="n"/>
      <c r="D10" s="33">
        <f>IF(C10="✓ Met",1,IF(C10="△ Partial",0.5,IF(C10="✗ Not Met",0,IF(C10="N/A","",""))))</f>
        <v/>
      </c>
      <c r="E10" s="10" t="n"/>
    </row>
    <row r="11" ht="40" customHeight="1">
      <c r="A11" s="31" t="inlineStr">
        <is>
          <t>A2</t>
        </is>
      </c>
      <c r="B11" s="10" t="inlineStr">
        <is>
          <t>Chronic conditions actively addressed at this visit (not just carried forward)</t>
        </is>
      </c>
      <c r="C11" s="32" t="n"/>
      <c r="D11" s="33">
        <f>IF(C11="✓ Met",1,IF(C11="△ Partial",0.5,IF(C11="✗ Not Met",0,IF(C11="N/A","",""))))</f>
        <v/>
      </c>
      <c r="E11" s="10" t="n"/>
    </row>
    <row r="12" ht="40" customHeight="1">
      <c r="A12" s="31" t="inlineStr">
        <is>
          <t>A3</t>
        </is>
      </c>
      <c r="B12" s="10" t="inlineStr">
        <is>
          <t>No unsupported or resolved conditions billed as active</t>
        </is>
      </c>
      <c r="C12" s="32" t="n"/>
      <c r="D12" s="33">
        <f>IF(C12="✓ Met",1,IF(C12="△ Partial",0.5,IF(C12="✗ Not Met",0,IF(C12="N/A","",""))))</f>
        <v/>
      </c>
      <c r="E12" s="10" t="n"/>
    </row>
    <row r="13" ht="40" customHeight="1">
      <c r="A13" s="31" t="inlineStr">
        <is>
          <t>A4</t>
        </is>
      </c>
      <c r="B13" s="10" t="inlineStr">
        <is>
          <t>Problem list matches today's assessment &amp; plan</t>
        </is>
      </c>
      <c r="C13" s="32" t="n"/>
      <c r="D13" s="33">
        <f>IF(C13="✓ Met",1,IF(C13="△ Partial",0.5,IF(C13="✗ Not Met",0,IF(C13="N/A","",""))))</f>
        <v/>
      </c>
      <c r="E13" s="10" t="n"/>
    </row>
    <row r="14" ht="6" customHeight="1"/>
    <row r="15" ht="30" customHeight="1">
      <c r="A15" s="30" t="inlineStr">
        <is>
          <t xml:space="preserve">  B · Documentation Specificity   (4 items)</t>
        </is>
      </c>
    </row>
    <row r="16" ht="40" customHeight="1">
      <c r="A16" s="31" t="inlineStr">
        <is>
          <t>B1</t>
        </is>
      </c>
      <c r="B16" s="10" t="inlineStr">
        <is>
          <t>ICD-10 codes at highest available specificity (avoid 'unspecified')</t>
        </is>
      </c>
      <c r="C16" s="32" t="n"/>
      <c r="D16" s="33">
        <f>IF(C16="✓ Met",1,IF(C16="△ Partial",0.5,IF(C16="✗ Not Met",0,IF(C16="N/A","",""))))</f>
        <v/>
      </c>
      <c r="E16" s="10" t="n"/>
    </row>
    <row r="17" ht="40" customHeight="1">
      <c r="A17" s="31" t="inlineStr">
        <is>
          <t>B2</t>
        </is>
      </c>
      <c r="B17" s="10" t="inlineStr">
        <is>
          <t>Diabetes: type + complications + control specified</t>
        </is>
      </c>
      <c r="C17" s="32" t="n"/>
      <c r="D17" s="33">
        <f>IF(C17="✓ Met",1,IF(C17="△ Partial",0.5,IF(C17="✗ Not Met",0,IF(C17="N/A","",""))))</f>
        <v/>
      </c>
      <c r="E17" s="10" t="n"/>
    </row>
    <row r="18" ht="40" customHeight="1">
      <c r="A18" s="31" t="inlineStr">
        <is>
          <t>B3</t>
        </is>
      </c>
      <c r="B18" s="10" t="inlineStr">
        <is>
          <t>S / O / A / P sections tell one consistent clinical story</t>
        </is>
      </c>
      <c r="C18" s="32" t="n"/>
      <c r="D18" s="33">
        <f>IF(C18="✓ Met",1,IF(C18="△ Partial",0.5,IF(C18="✗ Not Met",0,IF(C18="N/A","",""))))</f>
        <v/>
      </c>
      <c r="E18" s="10" t="n"/>
    </row>
    <row r="19" ht="40" customHeight="1">
      <c r="A19" s="31" t="inlineStr">
        <is>
          <t>B4</t>
        </is>
      </c>
      <c r="B19" s="10" t="inlineStr">
        <is>
          <t>Note signed, dated, and closed by the rendering provider</t>
        </is>
      </c>
      <c r="C19" s="32" t="n"/>
      <c r="D19" s="33">
        <f>IF(C19="✓ Met",1,IF(C19="△ Partial",0.5,IF(C19="✗ Not Met",0,IF(C19="N/A","",""))))</f>
        <v/>
      </c>
      <c r="E19" s="10" t="n"/>
    </row>
    <row r="20" ht="6" customHeight="1"/>
    <row r="21" ht="30" customHeight="1">
      <c r="A21" s="30" t="inlineStr">
        <is>
          <t xml:space="preserve">  C · SOAP Note Structure   (4 items)</t>
        </is>
      </c>
    </row>
    <row r="22" ht="40" customHeight="1">
      <c r="A22" s="31" t="inlineStr">
        <is>
          <t>C1</t>
        </is>
      </c>
      <c r="B22" s="10" t="inlineStr">
        <is>
          <t>Subjective — patient's history, symptoms, and concerns clearly documented</t>
        </is>
      </c>
      <c r="C22" s="32" t="n"/>
      <c r="D22" s="33">
        <f>IF(C22="✓ Met",1,IF(C22="△ Partial",0.5,IF(C22="✗ Not Met",0,IF(C22="N/A","",""))))</f>
        <v/>
      </c>
      <c r="E22" s="10" t="n"/>
    </row>
    <row r="23" ht="40" customHeight="1">
      <c r="A23" s="31" t="inlineStr">
        <is>
          <t>C2</t>
        </is>
      </c>
      <c r="B23" s="10" t="inlineStr">
        <is>
          <t>Objective — exam findings, vitals, and relevant test results documented</t>
        </is>
      </c>
      <c r="C23" s="32" t="n"/>
      <c r="D23" s="33">
        <f>IF(C23="✓ Met",1,IF(C23="△ Partial",0.5,IF(C23="✗ Not Met",0,IF(C23="N/A","",""))))</f>
        <v/>
      </c>
      <c r="E23" s="10" t="n"/>
    </row>
    <row r="24" ht="40" customHeight="1">
      <c r="A24" s="31" t="inlineStr">
        <is>
          <t>C3</t>
        </is>
      </c>
      <c r="B24" s="10" t="inlineStr">
        <is>
          <t>Assessment — each diagnosis explicitly assessed with clinical reasoning</t>
        </is>
      </c>
      <c r="C24" s="32" t="n"/>
      <c r="D24" s="33">
        <f>IF(C24="✓ Met",1,IF(C24="△ Partial",0.5,IF(C24="✗ Not Met",0,IF(C24="N/A","",""))))</f>
        <v/>
      </c>
      <c r="E24" s="10" t="n"/>
    </row>
    <row r="25" ht="40" customHeight="1">
      <c r="A25" s="31" t="inlineStr">
        <is>
          <t>C4</t>
        </is>
      </c>
      <c r="B25" s="10" t="inlineStr">
        <is>
          <t>Plan — treatment plan documented (medication / referral / testing / follow-up)</t>
        </is>
      </c>
      <c r="C25" s="32" t="n"/>
      <c r="D25" s="33">
        <f>IF(C25="✓ Met",1,IF(C25="△ Partial",0.5,IF(C25="✗ Not Met",0,IF(C25="N/A","",""))))</f>
        <v/>
      </c>
      <c r="E25" s="10" t="n"/>
    </row>
    <row r="26" ht="6" customHeight="1"/>
    <row r="27" ht="30" customHeight="1">
      <c r="A27" s="30" t="inlineStr">
        <is>
          <t xml:space="preserve">  D · HCC Capture   (2 items)</t>
        </is>
      </c>
    </row>
    <row r="28" ht="40" customHeight="1">
      <c r="A28" s="31" t="inlineStr">
        <is>
          <t>D1</t>
        </is>
      </c>
      <c r="B28" s="10" t="inlineStr">
        <is>
          <t>Prior-year HCCs recaptured (or explicitly resolved with rationale)</t>
        </is>
      </c>
      <c r="C28" s="32" t="n"/>
      <c r="D28" s="33">
        <f>IF(C28="✓ Met",1,IF(C28="△ Partial",0.5,IF(C28="✗ Not Met",0,IF(C28="N/A","",""))))</f>
        <v/>
      </c>
      <c r="E28" s="10" t="n"/>
    </row>
    <row r="29" ht="40" customHeight="1">
      <c r="A29" s="31" t="inlineStr">
        <is>
          <t>D2</t>
        </is>
      </c>
      <c r="B29" s="10" t="inlineStr">
        <is>
          <t>Suspected undocumented chronic conditions captured with support</t>
        </is>
      </c>
      <c r="C29" s="32" t="n"/>
      <c r="D29" s="33">
        <f>IF(C29="✓ Met",1,IF(C29="△ Partial",0.5,IF(C29="✗ Not Met",0,IF(C29="N/A","",""))))</f>
        <v/>
      </c>
      <c r="E29" s="10" t="n"/>
    </row>
    <row r="30" ht="6" customHeight="1"/>
    <row r="31" ht="30" customHeight="1">
      <c r="A31" s="30" t="inlineStr">
        <is>
          <t xml:space="preserve">  E · Documentation Supporting Quality Measures   (2 items)</t>
        </is>
      </c>
    </row>
    <row r="32" ht="40" customHeight="1">
      <c r="A32" s="31" t="inlineStr">
        <is>
          <t>E1</t>
        </is>
      </c>
      <c r="B32" s="10" t="inlineStr">
        <is>
          <t>Screening / measure results documented with specific values (PHQ-9, GAD-7, BMI, BP, HbA1c) — not just 'screened' or 'normal'</t>
        </is>
      </c>
      <c r="C32" s="32" t="n"/>
      <c r="D32" s="33">
        <f>IF(C32="✓ Met",1,IF(C32="△ Partial",0.5,IF(C32="✗ Not Met",0,IF(C32="N/A","",""))))</f>
        <v/>
      </c>
      <c r="E32" s="10" t="n"/>
    </row>
    <row r="33" ht="40" customHeight="1">
      <c r="A33" s="31" t="inlineStr">
        <is>
          <t>E2</t>
        </is>
      </c>
      <c r="B33" s="10" t="inlineStr">
        <is>
          <t>Follow-up plan documented when a screening is positive or a result is abnormal (positive PHQ-9 → depression plan; elevated BMI → nutrition counseling)</t>
        </is>
      </c>
      <c r="C33" s="32" t="n"/>
      <c r="D33" s="33">
        <f>IF(C33="✓ Met",1,IF(C33="△ Partial",0.5,IF(C33="✗ Not Met",0,IF(C33="N/A","",""))))</f>
        <v/>
      </c>
      <c r="E33" s="10" t="n"/>
    </row>
    <row r="34" ht="6" customHeight="1"/>
    <row r="36" ht="30" customHeight="1">
      <c r="A36" s="34" t="inlineStr">
        <is>
          <t xml:space="preserve">  SUMMARY</t>
        </is>
      </c>
    </row>
    <row r="37" ht="24" customHeight="1">
      <c r="A37" s="6" t="inlineStr">
        <is>
          <t>§</t>
        </is>
      </c>
      <c r="B37" s="6" t="inlineStr">
        <is>
          <t>Category</t>
        </is>
      </c>
      <c r="C37" s="6" t="n"/>
      <c r="D37" s="6" t="inlineStr">
        <is>
          <t>% Met</t>
        </is>
      </c>
      <c r="E37" s="6" t="inlineStr"/>
    </row>
    <row r="38" ht="24" customHeight="1">
      <c r="A38" s="35" t="inlineStr">
        <is>
          <t>A</t>
        </is>
      </c>
      <c r="B38" s="11" t="inlineStr">
        <is>
          <t>Diagnosis Accuracy</t>
        </is>
      </c>
      <c r="C38" s="36">
        <f>COUNTIF(C10:C13,"✓ Met")+COUNTIF(C10:C13,"△ Partial")+COUNTIF(C10:C13,"✗ Not Met")</f>
        <v/>
      </c>
      <c r="D38" s="37">
        <f>IFERROR(SUM(D10:D13)/C38,"")</f>
        <v/>
      </c>
      <c r="E38" s="14" t="inlineStr"/>
    </row>
    <row r="39" ht="24" customHeight="1">
      <c r="A39" s="35" t="inlineStr">
        <is>
          <t>B</t>
        </is>
      </c>
      <c r="B39" s="11" t="inlineStr">
        <is>
          <t>Documentation Specificity</t>
        </is>
      </c>
      <c r="C39" s="36">
        <f>COUNTIF(C16:C19,"✓ Met")+COUNTIF(C16:C19,"△ Partial")+COUNTIF(C16:C19,"✗ Not Met")</f>
        <v/>
      </c>
      <c r="D39" s="37">
        <f>IFERROR(SUM(D16:D19)/C39,"")</f>
        <v/>
      </c>
      <c r="E39" s="14" t="inlineStr"/>
    </row>
    <row r="40" ht="24" customHeight="1">
      <c r="A40" s="35" t="inlineStr">
        <is>
          <t>C</t>
        </is>
      </c>
      <c r="B40" s="11" t="inlineStr">
        <is>
          <t>SOAP Note Structure</t>
        </is>
      </c>
      <c r="C40" s="36">
        <f>COUNTIF(C22:C25,"✓ Met")+COUNTIF(C22:C25,"△ Partial")+COUNTIF(C22:C25,"✗ Not Met")</f>
        <v/>
      </c>
      <c r="D40" s="37">
        <f>IFERROR(SUM(D22:D25)/C40,"")</f>
        <v/>
      </c>
      <c r="E40" s="14" t="inlineStr"/>
    </row>
    <row r="41" ht="24" customHeight="1">
      <c r="A41" s="35" t="inlineStr">
        <is>
          <t>D</t>
        </is>
      </c>
      <c r="B41" s="11" t="inlineStr">
        <is>
          <t>HCC Capture</t>
        </is>
      </c>
      <c r="C41" s="36">
        <f>COUNTIF(C28:C29,"✓ Met")+COUNTIF(C28:C29,"△ Partial")+COUNTIF(C28:C29,"✗ Not Met")</f>
        <v/>
      </c>
      <c r="D41" s="37">
        <f>IFERROR(SUM(D28:D29)/C41,"")</f>
        <v/>
      </c>
      <c r="E41" s="14" t="inlineStr"/>
    </row>
    <row r="42" ht="24" customHeight="1">
      <c r="A42" s="35" t="inlineStr">
        <is>
          <t>E</t>
        </is>
      </c>
      <c r="B42" s="11" t="inlineStr">
        <is>
          <t>Documentation Supporting Quality Measures</t>
        </is>
      </c>
      <c r="C42" s="36">
        <f>COUNTIF(C32:C33,"✓ Met")+COUNTIF(C32:C33,"△ Partial")+COUNTIF(C32:C33,"✗ Not Met")</f>
        <v/>
      </c>
      <c r="D42" s="37">
        <f>IFERROR(SUM(D32:D33)/C42,"")</f>
        <v/>
      </c>
      <c r="E42" s="14" t="inlineStr"/>
    </row>
    <row r="44" ht="44" customHeight="1">
      <c r="A44" s="38" t="inlineStr">
        <is>
          <t xml:space="preserve">  OVERALL COMPLIANCE</t>
        </is>
      </c>
      <c r="D44" s="39">
        <f>IFERROR(SUMPRODUCT(D38:D42,C38:C42)/SUM(C38:C42),"")</f>
        <v/>
      </c>
      <c r="E44" s="17" t="n"/>
    </row>
    <row r="45" ht="32" customHeight="1">
      <c r="A45" s="40" t="inlineStr">
        <is>
          <t xml:space="preserve">  PERFORMANCE BAND</t>
        </is>
      </c>
      <c r="B45" s="53" t="n"/>
      <c r="C45" s="54" t="n"/>
      <c r="D45" s="18">
        <f>IF(D44="","",IF(D44&gt;=0.95,"Excellent",IF(D44&gt;=0.90,"Meets Expectations",IF(D44&gt;=0.80,"Needs Improvement","Corrective Education Required"))))</f>
        <v/>
      </c>
      <c r="E45" s="14" t="n"/>
    </row>
    <row r="46" ht="28" customHeight="1">
      <c r="A46" s="62" t="n"/>
      <c r="B46" s="62" t="n"/>
      <c r="C46" s="62" t="n"/>
      <c r="D46" s="62" t="n"/>
      <c r="E46" s="62" t="n"/>
      <c r="F46" s="62" t="n"/>
      <c r="G46" s="62" t="n"/>
      <c r="H46" s="62" t="n"/>
      <c r="I46" s="62" t="n"/>
    </row>
    <row r="47" ht="30" customHeight="1">
      <c r="A47" s="62" t="n"/>
      <c r="B47" s="62" t="n"/>
      <c r="C47" s="62" t="n"/>
      <c r="D47" s="62" t="n"/>
      <c r="E47" s="62" t="n"/>
      <c r="F47" s="62" t="n"/>
      <c r="G47" s="62" t="n"/>
      <c r="H47" s="62" t="n"/>
      <c r="I47" s="62" t="n"/>
    </row>
    <row r="48">
      <c r="A48" s="62" t="n"/>
      <c r="B48" s="62" t="n"/>
      <c r="C48" s="62" t="n"/>
      <c r="D48" s="62" t="n"/>
      <c r="E48" s="62" t="n"/>
      <c r="F48" s="62" t="n"/>
      <c r="G48" s="62" t="n"/>
      <c r="H48" s="62" t="n"/>
      <c r="I48" s="62" t="n"/>
    </row>
    <row r="49" ht="26" customHeight="1">
      <c r="A49" s="62" t="n"/>
      <c r="B49" s="62" t="n"/>
      <c r="C49" s="62" t="n"/>
      <c r="D49" s="62" t="n"/>
      <c r="E49" s="62" t="n"/>
      <c r="F49" s="62" t="n"/>
      <c r="G49" s="62" t="n"/>
      <c r="H49" s="62" t="n"/>
      <c r="I49" s="62" t="n"/>
    </row>
    <row r="50">
      <c r="A50" s="62" t="n"/>
      <c r="B50" s="62" t="n"/>
      <c r="C50" s="62" t="n"/>
      <c r="D50" s="62" t="n"/>
      <c r="E50" s="62" t="n"/>
      <c r="F50" s="62" t="n"/>
      <c r="G50" s="62" t="n"/>
      <c r="H50" s="62" t="n"/>
      <c r="I50" s="62" t="n"/>
    </row>
    <row r="51" ht="28" customHeight="1">
      <c r="A51" s="62" t="n"/>
      <c r="B51" s="62" t="n"/>
      <c r="C51" s="62" t="n"/>
      <c r="D51" s="62" t="n"/>
      <c r="E51" s="62" t="n"/>
      <c r="F51" s="62" t="n"/>
      <c r="G51" s="62" t="n"/>
      <c r="H51" s="62" t="n"/>
      <c r="I51" s="62" t="n"/>
    </row>
    <row r="52" ht="30" customHeight="1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</row>
  </sheetData>
  <mergeCells count="11">
    <mergeCell ref="A21:E21"/>
    <mergeCell ref="A44:C44"/>
    <mergeCell ref="A2:E2"/>
    <mergeCell ref="A45:C45"/>
    <mergeCell ref="A15:E15"/>
    <mergeCell ref="E4:E6"/>
    <mergeCell ref="A1:E1"/>
    <mergeCell ref="A36:E36"/>
    <mergeCell ref="A31:E31"/>
    <mergeCell ref="A9:E9"/>
    <mergeCell ref="A27:E27"/>
  </mergeCells>
  <dataValidations count="3">
    <dataValidation sqref="B6" showDropDown="0" showInputMessage="0" showErrorMessage="0" allowBlank="1" type="list">
      <formula1>"Diabetes,Chronic Kidney Disease,Annual Wellness Visit,High RAF Patient,Random Selection"</formula1>
    </dataValidation>
    <dataValidation sqref="D6" showDropDown="0" showInputMessage="0" showErrorMessage="0" allowBlank="1" type="list">
      <formula1>"Medicare Advantage,Commercial,Medicaid,Dual"</formula1>
    </dataValidation>
    <dataValidation sqref="C10:C34" showDropDown="0" showInputMessage="0" showErrorMessage="0" allowBlank="1" type="list">
      <formula1>"✓ Met,△ Partial,✗ Not Met,N/A"</formula1>
    </dataValidation>
  </dataValidations>
  <printOptions horizontalCentered="1"/>
  <pageMargins left="0.3" right="0.3" top="0.4" bottom="0.4" header="0.5" footer="0.5"/>
  <pageSetup orientation="portrait" paperSize="1" fitToHeight="1" fitToWidth="1"/>
</worksheet>
</file>

<file path=xl/worksheets/sheet12.xml><?xml version="1.0" encoding="utf-8"?>
<worksheet xmlns="http://schemas.openxmlformats.org/spreadsheetml/2006/main">
  <sheetPr>
    <tabColor rgb="001E7A6E"/>
    <outlinePr summaryBelow="1" summaryRight="1"/>
    <pageSetUpPr fitToPage="1"/>
  </sheetPr>
  <dimension ref="A1:I52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  <col width="10" customWidth="1" min="4" max="4"/>
    <col width="42" customWidth="1" min="5" max="5"/>
  </cols>
  <sheetData>
    <row r="1" ht="42" customHeight="1">
      <c r="A1" s="25" t="inlineStr">
        <is>
          <t>Clinical Documentation Audit</t>
        </is>
      </c>
    </row>
    <row r="2" ht="26" customHeight="1">
      <c r="A2" s="26" t="inlineStr">
        <is>
          <t>One chart per sheet · tick each item · scoring &amp; rating are automatic</t>
        </is>
      </c>
    </row>
    <row r="3" ht="8" customHeight="1"/>
    <row r="4" ht="28" customHeight="1">
      <c r="A4" s="27" t="inlineStr">
        <is>
          <t>Provider:</t>
        </is>
      </c>
      <c r="B4" s="4" t="n"/>
      <c r="C4" s="27" t="inlineStr">
        <is>
          <t>Date of Service:</t>
        </is>
      </c>
      <c r="D4" s="4" t="n"/>
      <c r="E4" s="28" t="inlineStr">
        <is>
          <t>How to audit a claim
1. Click a Claim 01–10 tab (bottom of the workbook)
2. Fill yellow header + ratings — auto-scores
3. Move to the next Claim tab · repeat
Global metrics roll up automatically
• Open the Provider Metrics tab — it pulls the 10 claim scores
  live from the Claim tabs so you see the running provider average.
Start a new provider (after 10 claims)
1. Ctrl+click Claim 01 through Claim 10 to group them
2. Select the yellow header + rating + note cells on any tab
3. Press Delete → all 10 tabs clear at once
4. Right-click any tab → Ungroup Sheets</t>
        </is>
      </c>
    </row>
    <row r="5" ht="26" customHeight="1">
      <c r="A5" s="27" t="inlineStr">
        <is>
          <t>Claim Number:</t>
        </is>
      </c>
      <c r="B5" s="110" t="n"/>
      <c r="C5" s="27" t="inlineStr">
        <is>
          <t>Auditor:</t>
        </is>
      </c>
      <c r="D5" s="4" t="n"/>
      <c r="E5" s="51" t="n"/>
    </row>
    <row r="6" ht="28" customHeight="1">
      <c r="A6" s="27" t="inlineStr">
        <is>
          <t>Category:</t>
        </is>
      </c>
      <c r="B6" s="4" t="n"/>
      <c r="C6" s="27" t="inlineStr">
        <is>
          <t>Payer:</t>
        </is>
      </c>
      <c r="D6" s="4" t="n"/>
      <c r="E6" s="52" t="n"/>
    </row>
    <row r="7" ht="26" customHeight="1">
      <c r="A7" s="27" t="inlineStr">
        <is>
          <t>Date of audit:</t>
        </is>
      </c>
      <c r="B7" s="109" t="n"/>
    </row>
    <row r="8" ht="32" customHeight="1">
      <c r="A8" s="29" t="inlineStr">
        <is>
          <t>§</t>
        </is>
      </c>
      <c r="B8" s="29" t="inlineStr">
        <is>
          <t>Documentation element</t>
        </is>
      </c>
      <c r="C8" s="29" t="n"/>
      <c r="D8" s="29" t="inlineStr">
        <is>
          <t>Pts</t>
        </is>
      </c>
      <c r="E8" s="29" t="n"/>
    </row>
    <row r="9" ht="30" customHeight="1">
      <c r="A9" s="30" t="inlineStr">
        <is>
          <t xml:space="preserve">  A · Diagnosis Accuracy   (4 items)</t>
        </is>
      </c>
    </row>
    <row r="10" ht="40" customHeight="1">
      <c r="A10" s="31" t="inlineStr">
        <is>
          <t>A1</t>
        </is>
      </c>
      <c r="B10" s="10" t="inlineStr">
        <is>
          <t>All reported diagnoses are clinically supported in the note</t>
        </is>
      </c>
      <c r="C10" s="32" t="n"/>
      <c r="D10" s="33">
        <f>IF(C10="✓ Met",1,IF(C10="△ Partial",0.5,IF(C10="✗ Not Met",0,IF(C10="N/A","",""))))</f>
        <v/>
      </c>
      <c r="E10" s="10" t="n"/>
    </row>
    <row r="11" ht="40" customHeight="1">
      <c r="A11" s="31" t="inlineStr">
        <is>
          <t>A2</t>
        </is>
      </c>
      <c r="B11" s="10" t="inlineStr">
        <is>
          <t>Chronic conditions actively addressed at this visit (not just carried forward)</t>
        </is>
      </c>
      <c r="C11" s="32" t="n"/>
      <c r="D11" s="33">
        <f>IF(C11="✓ Met",1,IF(C11="△ Partial",0.5,IF(C11="✗ Not Met",0,IF(C11="N/A","",""))))</f>
        <v/>
      </c>
      <c r="E11" s="10" t="n"/>
    </row>
    <row r="12" ht="40" customHeight="1">
      <c r="A12" s="31" t="inlineStr">
        <is>
          <t>A3</t>
        </is>
      </c>
      <c r="B12" s="10" t="inlineStr">
        <is>
          <t>No unsupported or resolved conditions billed as active</t>
        </is>
      </c>
      <c r="C12" s="32" t="n"/>
      <c r="D12" s="33">
        <f>IF(C12="✓ Met",1,IF(C12="△ Partial",0.5,IF(C12="✗ Not Met",0,IF(C12="N/A","",""))))</f>
        <v/>
      </c>
      <c r="E12" s="10" t="n"/>
    </row>
    <row r="13" ht="40" customHeight="1">
      <c r="A13" s="31" t="inlineStr">
        <is>
          <t>A4</t>
        </is>
      </c>
      <c r="B13" s="10" t="inlineStr">
        <is>
          <t>Problem list matches today's assessment &amp; plan</t>
        </is>
      </c>
      <c r="C13" s="32" t="n"/>
      <c r="D13" s="33">
        <f>IF(C13="✓ Met",1,IF(C13="△ Partial",0.5,IF(C13="✗ Not Met",0,IF(C13="N/A","",""))))</f>
        <v/>
      </c>
      <c r="E13" s="10" t="n"/>
    </row>
    <row r="14" ht="6" customHeight="1"/>
    <row r="15" ht="30" customHeight="1">
      <c r="A15" s="30" t="inlineStr">
        <is>
          <t xml:space="preserve">  B · Documentation Specificity   (4 items)</t>
        </is>
      </c>
    </row>
    <row r="16" ht="40" customHeight="1">
      <c r="A16" s="31" t="inlineStr">
        <is>
          <t>B1</t>
        </is>
      </c>
      <c r="B16" s="10" t="inlineStr">
        <is>
          <t>ICD-10 codes at highest available specificity (avoid 'unspecified')</t>
        </is>
      </c>
      <c r="C16" s="32" t="n"/>
      <c r="D16" s="33">
        <f>IF(C16="✓ Met",1,IF(C16="△ Partial",0.5,IF(C16="✗ Not Met",0,IF(C16="N/A","",""))))</f>
        <v/>
      </c>
      <c r="E16" s="10" t="n"/>
    </row>
    <row r="17" ht="40" customHeight="1">
      <c r="A17" s="31" t="inlineStr">
        <is>
          <t>B2</t>
        </is>
      </c>
      <c r="B17" s="10" t="inlineStr">
        <is>
          <t>Diabetes: type + complications + control specified</t>
        </is>
      </c>
      <c r="C17" s="32" t="n"/>
      <c r="D17" s="33">
        <f>IF(C17="✓ Met",1,IF(C17="△ Partial",0.5,IF(C17="✗ Not Met",0,IF(C17="N/A","",""))))</f>
        <v/>
      </c>
      <c r="E17" s="10" t="n"/>
    </row>
    <row r="18" ht="40" customHeight="1">
      <c r="A18" s="31" t="inlineStr">
        <is>
          <t>B3</t>
        </is>
      </c>
      <c r="B18" s="10" t="inlineStr">
        <is>
          <t>S / O / A / P sections tell one consistent clinical story</t>
        </is>
      </c>
      <c r="C18" s="32" t="n"/>
      <c r="D18" s="33">
        <f>IF(C18="✓ Met",1,IF(C18="△ Partial",0.5,IF(C18="✗ Not Met",0,IF(C18="N/A","",""))))</f>
        <v/>
      </c>
      <c r="E18" s="10" t="n"/>
    </row>
    <row r="19" ht="40" customHeight="1">
      <c r="A19" s="31" t="inlineStr">
        <is>
          <t>B4</t>
        </is>
      </c>
      <c r="B19" s="10" t="inlineStr">
        <is>
          <t>Note signed, dated, and closed by the rendering provider</t>
        </is>
      </c>
      <c r="C19" s="32" t="n"/>
      <c r="D19" s="33">
        <f>IF(C19="✓ Met",1,IF(C19="△ Partial",0.5,IF(C19="✗ Not Met",0,IF(C19="N/A","",""))))</f>
        <v/>
      </c>
      <c r="E19" s="10" t="n"/>
    </row>
    <row r="20" ht="6" customHeight="1"/>
    <row r="21" ht="30" customHeight="1">
      <c r="A21" s="30" t="inlineStr">
        <is>
          <t xml:space="preserve">  C · SOAP Note Structure   (4 items)</t>
        </is>
      </c>
    </row>
    <row r="22" ht="40" customHeight="1">
      <c r="A22" s="31" t="inlineStr">
        <is>
          <t>C1</t>
        </is>
      </c>
      <c r="B22" s="10" t="inlineStr">
        <is>
          <t>Subjective — patient's history, symptoms, and concerns clearly documented</t>
        </is>
      </c>
      <c r="C22" s="32" t="n"/>
      <c r="D22" s="33">
        <f>IF(C22="✓ Met",1,IF(C22="△ Partial",0.5,IF(C22="✗ Not Met",0,IF(C22="N/A","",""))))</f>
        <v/>
      </c>
      <c r="E22" s="10" t="n"/>
    </row>
    <row r="23" ht="40" customHeight="1">
      <c r="A23" s="31" t="inlineStr">
        <is>
          <t>C2</t>
        </is>
      </c>
      <c r="B23" s="10" t="inlineStr">
        <is>
          <t>Objective — exam findings, vitals, and relevant test results documented</t>
        </is>
      </c>
      <c r="C23" s="32" t="n"/>
      <c r="D23" s="33">
        <f>IF(C23="✓ Met",1,IF(C23="△ Partial",0.5,IF(C23="✗ Not Met",0,IF(C23="N/A","",""))))</f>
        <v/>
      </c>
      <c r="E23" s="10" t="n"/>
    </row>
    <row r="24" ht="40" customHeight="1">
      <c r="A24" s="31" t="inlineStr">
        <is>
          <t>C3</t>
        </is>
      </c>
      <c r="B24" s="10" t="inlineStr">
        <is>
          <t>Assessment — each diagnosis explicitly assessed with clinical reasoning</t>
        </is>
      </c>
      <c r="C24" s="32" t="n"/>
      <c r="D24" s="33">
        <f>IF(C24="✓ Met",1,IF(C24="△ Partial",0.5,IF(C24="✗ Not Met",0,IF(C24="N/A","",""))))</f>
        <v/>
      </c>
      <c r="E24" s="10" t="n"/>
    </row>
    <row r="25" ht="40" customHeight="1">
      <c r="A25" s="31" t="inlineStr">
        <is>
          <t>C4</t>
        </is>
      </c>
      <c r="B25" s="10" t="inlineStr">
        <is>
          <t>Plan — treatment plan documented (medication / referral / testing / follow-up)</t>
        </is>
      </c>
      <c r="C25" s="32" t="n"/>
      <c r="D25" s="33">
        <f>IF(C25="✓ Met",1,IF(C25="△ Partial",0.5,IF(C25="✗ Not Met",0,IF(C25="N/A","",""))))</f>
        <v/>
      </c>
      <c r="E25" s="10" t="n"/>
    </row>
    <row r="26" ht="6" customHeight="1"/>
    <row r="27" ht="30" customHeight="1">
      <c r="A27" s="30" t="inlineStr">
        <is>
          <t xml:space="preserve">  D · HCC Capture   (2 items)</t>
        </is>
      </c>
    </row>
    <row r="28" ht="40" customHeight="1">
      <c r="A28" s="31" t="inlineStr">
        <is>
          <t>D1</t>
        </is>
      </c>
      <c r="B28" s="10" t="inlineStr">
        <is>
          <t>Prior-year HCCs recaptured (or explicitly resolved with rationale)</t>
        </is>
      </c>
      <c r="C28" s="32" t="n"/>
      <c r="D28" s="33">
        <f>IF(C28="✓ Met",1,IF(C28="△ Partial",0.5,IF(C28="✗ Not Met",0,IF(C28="N/A","",""))))</f>
        <v/>
      </c>
      <c r="E28" s="10" t="n"/>
    </row>
    <row r="29" ht="40" customHeight="1">
      <c r="A29" s="31" t="inlineStr">
        <is>
          <t>D2</t>
        </is>
      </c>
      <c r="B29" s="10" t="inlineStr">
        <is>
          <t>Suspected undocumented chronic conditions captured with support</t>
        </is>
      </c>
      <c r="C29" s="32" t="n"/>
      <c r="D29" s="33">
        <f>IF(C29="✓ Met",1,IF(C29="△ Partial",0.5,IF(C29="✗ Not Met",0,IF(C29="N/A","",""))))</f>
        <v/>
      </c>
      <c r="E29" s="10" t="n"/>
    </row>
    <row r="30" ht="6" customHeight="1"/>
    <row r="31" ht="30" customHeight="1">
      <c r="A31" s="30" t="inlineStr">
        <is>
          <t xml:space="preserve">  E · Documentation Supporting Quality Measures   (2 items)</t>
        </is>
      </c>
    </row>
    <row r="32" ht="40" customHeight="1">
      <c r="A32" s="31" t="inlineStr">
        <is>
          <t>E1</t>
        </is>
      </c>
      <c r="B32" s="10" t="inlineStr">
        <is>
          <t>Screening / measure results documented with specific values (PHQ-9, GAD-7, BMI, BP, HbA1c) — not just 'screened' or 'normal'</t>
        </is>
      </c>
      <c r="C32" s="32" t="n"/>
      <c r="D32" s="33">
        <f>IF(C32="✓ Met",1,IF(C32="△ Partial",0.5,IF(C32="✗ Not Met",0,IF(C32="N/A","",""))))</f>
        <v/>
      </c>
      <c r="E32" s="10" t="n"/>
    </row>
    <row r="33" ht="40" customHeight="1">
      <c r="A33" s="31" t="inlineStr">
        <is>
          <t>E2</t>
        </is>
      </c>
      <c r="B33" s="10" t="inlineStr">
        <is>
          <t>Follow-up plan documented when a screening is positive or a result is abnormal (positive PHQ-9 → depression plan; elevated BMI → nutrition counseling)</t>
        </is>
      </c>
      <c r="C33" s="32" t="n"/>
      <c r="D33" s="33">
        <f>IF(C33="✓ Met",1,IF(C33="△ Partial",0.5,IF(C33="✗ Not Met",0,IF(C33="N/A","",""))))</f>
        <v/>
      </c>
      <c r="E33" s="10" t="n"/>
    </row>
    <row r="34" ht="6" customHeight="1"/>
    <row r="36" ht="30" customHeight="1">
      <c r="A36" s="34" t="inlineStr">
        <is>
          <t xml:space="preserve">  SUMMARY</t>
        </is>
      </c>
    </row>
    <row r="37" ht="24" customHeight="1">
      <c r="A37" s="6" t="inlineStr">
        <is>
          <t>§</t>
        </is>
      </c>
      <c r="B37" s="6" t="inlineStr">
        <is>
          <t>Category</t>
        </is>
      </c>
      <c r="C37" s="6" t="n"/>
      <c r="D37" s="6" t="inlineStr">
        <is>
          <t>% Met</t>
        </is>
      </c>
      <c r="E37" s="6" t="inlineStr"/>
    </row>
    <row r="38" ht="24" customHeight="1">
      <c r="A38" s="35" t="inlineStr">
        <is>
          <t>A</t>
        </is>
      </c>
      <c r="B38" s="11" t="inlineStr">
        <is>
          <t>Diagnosis Accuracy</t>
        </is>
      </c>
      <c r="C38" s="36">
        <f>COUNTIF(C10:C13,"✓ Met")+COUNTIF(C10:C13,"△ Partial")+COUNTIF(C10:C13,"✗ Not Met")</f>
        <v/>
      </c>
      <c r="D38" s="37">
        <f>IFERROR(SUM(D10:D13)/C38,"")</f>
        <v/>
      </c>
      <c r="E38" s="14" t="inlineStr"/>
    </row>
    <row r="39" ht="24" customHeight="1">
      <c r="A39" s="35" t="inlineStr">
        <is>
          <t>B</t>
        </is>
      </c>
      <c r="B39" s="11" t="inlineStr">
        <is>
          <t>Documentation Specificity</t>
        </is>
      </c>
      <c r="C39" s="36">
        <f>COUNTIF(C16:C19,"✓ Met")+COUNTIF(C16:C19,"△ Partial")+COUNTIF(C16:C19,"✗ Not Met")</f>
        <v/>
      </c>
      <c r="D39" s="37">
        <f>IFERROR(SUM(D16:D19)/C39,"")</f>
        <v/>
      </c>
      <c r="E39" s="14" t="inlineStr"/>
    </row>
    <row r="40" ht="24" customHeight="1">
      <c r="A40" s="35" t="inlineStr">
        <is>
          <t>C</t>
        </is>
      </c>
      <c r="B40" s="11" t="inlineStr">
        <is>
          <t>SOAP Note Structure</t>
        </is>
      </c>
      <c r="C40" s="36">
        <f>COUNTIF(C22:C25,"✓ Met")+COUNTIF(C22:C25,"△ Partial")+COUNTIF(C22:C25,"✗ Not Met")</f>
        <v/>
      </c>
      <c r="D40" s="37">
        <f>IFERROR(SUM(D22:D25)/C40,"")</f>
        <v/>
      </c>
      <c r="E40" s="14" t="inlineStr"/>
    </row>
    <row r="41" ht="24" customHeight="1">
      <c r="A41" s="35" t="inlineStr">
        <is>
          <t>D</t>
        </is>
      </c>
      <c r="B41" s="11" t="inlineStr">
        <is>
          <t>HCC Capture</t>
        </is>
      </c>
      <c r="C41" s="36">
        <f>COUNTIF(C28:C29,"✓ Met")+COUNTIF(C28:C29,"△ Partial")+COUNTIF(C28:C29,"✗ Not Met")</f>
        <v/>
      </c>
      <c r="D41" s="37">
        <f>IFERROR(SUM(D28:D29)/C41,"")</f>
        <v/>
      </c>
      <c r="E41" s="14" t="inlineStr"/>
    </row>
    <row r="42" ht="24" customHeight="1">
      <c r="A42" s="35" t="inlineStr">
        <is>
          <t>E</t>
        </is>
      </c>
      <c r="B42" s="11" t="inlineStr">
        <is>
          <t>Documentation Supporting Quality Measures</t>
        </is>
      </c>
      <c r="C42" s="36">
        <f>COUNTIF(C32:C33,"✓ Met")+COUNTIF(C32:C33,"△ Partial")+COUNTIF(C32:C33,"✗ Not Met")</f>
        <v/>
      </c>
      <c r="D42" s="37">
        <f>IFERROR(SUM(D32:D33)/C42,"")</f>
        <v/>
      </c>
      <c r="E42" s="14" t="inlineStr"/>
    </row>
    <row r="44" ht="44" customHeight="1">
      <c r="A44" s="38" t="inlineStr">
        <is>
          <t xml:space="preserve">  OVERALL COMPLIANCE</t>
        </is>
      </c>
      <c r="D44" s="39">
        <f>IFERROR(SUMPRODUCT(D38:D42,C38:C42)/SUM(C38:C42),"")</f>
        <v/>
      </c>
      <c r="E44" s="17" t="n"/>
    </row>
    <row r="45" ht="32" customHeight="1">
      <c r="A45" s="40" t="inlineStr">
        <is>
          <t xml:space="preserve">  PERFORMANCE BAND</t>
        </is>
      </c>
      <c r="B45" s="53" t="n"/>
      <c r="C45" s="54" t="n"/>
      <c r="D45" s="18">
        <f>IF(D44="","",IF(D44&gt;=0.95,"Excellent",IF(D44&gt;=0.90,"Meets Expectations",IF(D44&gt;=0.80,"Needs Improvement","Corrective Education Required"))))</f>
        <v/>
      </c>
      <c r="E45" s="14" t="n"/>
    </row>
    <row r="46" ht="28" customHeight="1">
      <c r="A46" s="62" t="n"/>
      <c r="B46" s="62" t="n"/>
      <c r="C46" s="62" t="n"/>
      <c r="D46" s="62" t="n"/>
      <c r="E46" s="62" t="n"/>
      <c r="F46" s="62" t="n"/>
      <c r="G46" s="62" t="n"/>
      <c r="H46" s="62" t="n"/>
      <c r="I46" s="62" t="n"/>
    </row>
    <row r="47" ht="30" customHeight="1">
      <c r="A47" s="62" t="n"/>
      <c r="B47" s="62" t="n"/>
      <c r="C47" s="62" t="n"/>
      <c r="D47" s="62" t="n"/>
      <c r="E47" s="62" t="n"/>
      <c r="F47" s="62" t="n"/>
      <c r="G47" s="62" t="n"/>
      <c r="H47" s="62" t="n"/>
      <c r="I47" s="62" t="n"/>
    </row>
    <row r="48">
      <c r="A48" s="62" t="n"/>
      <c r="B48" s="62" t="n"/>
      <c r="C48" s="62" t="n"/>
      <c r="D48" s="62" t="n"/>
      <c r="E48" s="62" t="n"/>
      <c r="F48" s="62" t="n"/>
      <c r="G48" s="62" t="n"/>
      <c r="H48" s="62" t="n"/>
      <c r="I48" s="62" t="n"/>
    </row>
    <row r="49" ht="26" customHeight="1">
      <c r="A49" s="62" t="n"/>
      <c r="B49" s="62" t="n"/>
      <c r="C49" s="62" t="n"/>
      <c r="D49" s="62" t="n"/>
      <c r="E49" s="62" t="n"/>
      <c r="F49" s="62" t="n"/>
      <c r="G49" s="62" t="n"/>
      <c r="H49" s="62" t="n"/>
      <c r="I49" s="62" t="n"/>
    </row>
    <row r="50">
      <c r="A50" s="62" t="n"/>
      <c r="B50" s="62" t="n"/>
      <c r="C50" s="62" t="n"/>
      <c r="D50" s="62" t="n"/>
      <c r="E50" s="62" t="n"/>
      <c r="F50" s="62" t="n"/>
      <c r="G50" s="62" t="n"/>
      <c r="H50" s="62" t="n"/>
      <c r="I50" s="62" t="n"/>
    </row>
    <row r="51" ht="28" customHeight="1">
      <c r="A51" s="62" t="n"/>
      <c r="B51" s="62" t="n"/>
      <c r="C51" s="62" t="n"/>
      <c r="D51" s="62" t="n"/>
      <c r="E51" s="62" t="n"/>
      <c r="F51" s="62" t="n"/>
      <c r="G51" s="62" t="n"/>
      <c r="H51" s="62" t="n"/>
      <c r="I51" s="62" t="n"/>
    </row>
    <row r="52" ht="30" customHeight="1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</row>
  </sheetData>
  <mergeCells count="11">
    <mergeCell ref="A21:E21"/>
    <mergeCell ref="A44:C44"/>
    <mergeCell ref="A2:E2"/>
    <mergeCell ref="A45:C45"/>
    <mergeCell ref="A15:E15"/>
    <mergeCell ref="E4:E6"/>
    <mergeCell ref="A1:E1"/>
    <mergeCell ref="A36:E36"/>
    <mergeCell ref="A31:E31"/>
    <mergeCell ref="A9:E9"/>
    <mergeCell ref="A27:E27"/>
  </mergeCells>
  <dataValidations count="3">
    <dataValidation sqref="B6" showDropDown="0" showInputMessage="0" showErrorMessage="0" allowBlank="1" type="list">
      <formula1>"Diabetes,Chronic Kidney Disease,Annual Wellness Visit,High RAF Patient,Random Selection"</formula1>
    </dataValidation>
    <dataValidation sqref="D6" showDropDown="0" showInputMessage="0" showErrorMessage="0" allowBlank="1" type="list">
      <formula1>"Medicare Advantage,Commercial,Medicaid,Dual"</formula1>
    </dataValidation>
    <dataValidation sqref="C10:C34" showDropDown="0" showInputMessage="0" showErrorMessage="0" allowBlank="1" type="list">
      <formula1>"✓ Met,△ Partial,✗ Not Met,N/A"</formula1>
    </dataValidation>
  </dataValidations>
  <printOptions horizontalCentered="1"/>
  <pageMargins left="0.3" right="0.3" top="0.4" bottom="0.4" header="0.5" footer="0.5"/>
  <pageSetup orientation="portrait" paperSize="1" fitToHeight="1" fitToWidth="1"/>
</worksheet>
</file>

<file path=xl/worksheets/sheet13.xml><?xml version="1.0" encoding="utf-8"?>
<worksheet xmlns="http://schemas.openxmlformats.org/spreadsheetml/2006/main">
  <sheetPr>
    <tabColor rgb="001E40AF"/>
    <outlinePr summaryBelow="1" summaryRight="1"/>
    <pageSetUpPr/>
  </sheetPr>
  <dimension ref="A1:M2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2" customWidth="1" min="4" max="4"/>
    <col width="22" customWidth="1" min="5" max="5"/>
    <col width="14" customWidth="1" min="6" max="6"/>
    <col width="14" customWidth="1" min="7" max="7"/>
    <col width="24" customWidth="1" min="8" max="8"/>
    <col width="34" customWidth="1" min="9" max="9"/>
    <col width="3" customWidth="1" min="11" max="11"/>
    <col width="26" customWidth="1" min="12" max="12"/>
    <col width="18" customWidth="1" min="13" max="13"/>
  </cols>
  <sheetData>
    <row r="1" ht="30" customHeight="1">
      <c r="A1" s="19" t="inlineStr">
        <is>
          <t>Audit Log — Rolling record</t>
        </is>
      </c>
      <c r="K1" s="62" t="n"/>
      <c r="L1" s="86" t="inlineStr">
        <is>
          <t>Provider Metrics</t>
        </is>
      </c>
    </row>
    <row r="2" ht="22" customHeight="1">
      <c r="A2" s="2" t="inlineStr">
        <is>
          <t>One row per chart audited. Log each chart when you finish it — this is your working history.</t>
        </is>
      </c>
      <c r="K2" s="62" t="n"/>
      <c r="L2" s="87" t="inlineStr">
        <is>
          <t>Pick a provider and month → rollup shows below</t>
        </is>
      </c>
    </row>
    <row r="3">
      <c r="K3" s="62" t="n"/>
      <c r="L3" s="62" t="n"/>
      <c r="M3" s="62" t="n"/>
    </row>
    <row r="4" ht="26" customHeight="1">
      <c r="A4" s="6" t="inlineStr">
        <is>
          <t>Audit Date</t>
        </is>
      </c>
      <c r="B4" s="6" t="inlineStr">
        <is>
          <t>Provider</t>
        </is>
      </c>
      <c r="C4" s="6" t="inlineStr">
        <is>
          <t>Claim Number</t>
        </is>
      </c>
      <c r="D4" s="6" t="inlineStr">
        <is>
          <t>DOS</t>
        </is>
      </c>
      <c r="E4" s="6" t="inlineStr">
        <is>
          <t>Category</t>
        </is>
      </c>
      <c r="F4" s="6" t="inlineStr">
        <is>
          <t>Compliance %</t>
        </is>
      </c>
      <c r="G4" s="6" t="inlineStr">
        <is>
          <t>Rating</t>
        </is>
      </c>
      <c r="H4" s="6" t="inlineStr">
        <is>
          <t>Deficiencies</t>
        </is>
      </c>
      <c r="I4" s="6" t="inlineStr">
        <is>
          <t>Follow-Up / Notes</t>
        </is>
      </c>
      <c r="K4" s="62" t="n"/>
      <c r="L4" s="3" t="inlineStr">
        <is>
          <t>Provider:</t>
        </is>
      </c>
      <c r="M4" s="88" t="inlineStr"/>
    </row>
    <row r="5" ht="26" customHeight="1">
      <c r="A5" s="55" t="n">
        <v>46206</v>
      </c>
      <c r="B5" s="56" t="inlineStr">
        <is>
          <t>Dr. Rivera</t>
        </is>
      </c>
      <c r="C5" s="56" t="inlineStr">
        <is>
          <t>CLM-2026-001</t>
        </is>
      </c>
      <c r="D5" s="55" t="n">
        <v>46201</v>
      </c>
      <c r="E5" s="57" t="inlineStr">
        <is>
          <t>Diabetes</t>
        </is>
      </c>
      <c r="F5" s="58" t="n">
        <v>0.96</v>
      </c>
      <c r="G5" s="57" t="inlineStr">
        <is>
          <t>Excellent</t>
        </is>
      </c>
      <c r="H5" s="56" t="inlineStr">
        <is>
          <t>None</t>
        </is>
      </c>
      <c r="I5" s="56" t="inlineStr">
        <is>
          <t>Sample row · delete when starting real audits</t>
        </is>
      </c>
      <c r="K5" s="62" t="n"/>
      <c r="L5" s="3" t="inlineStr">
        <is>
          <t>Audit Month:</t>
        </is>
      </c>
      <c r="M5" s="88" t="inlineStr"/>
    </row>
    <row r="6">
      <c r="A6" s="55" t="n">
        <v>46211</v>
      </c>
      <c r="B6" s="56" t="inlineStr">
        <is>
          <t>Dr. Rivera</t>
        </is>
      </c>
      <c r="C6" s="56" t="inlineStr">
        <is>
          <t>CLM-2026-002</t>
        </is>
      </c>
      <c r="D6" s="55" t="n">
        <v>46203</v>
      </c>
      <c r="E6" s="57" t="inlineStr">
        <is>
          <t>Chronic Kidney Disease</t>
        </is>
      </c>
      <c r="F6" s="58" t="n">
        <v>0.92</v>
      </c>
      <c r="G6" s="57" t="inlineStr">
        <is>
          <t>Meets Expectations</t>
        </is>
      </c>
      <c r="H6" s="56" t="inlineStr">
        <is>
          <t>N18 unspecified</t>
        </is>
      </c>
      <c r="I6" s="56" t="inlineStr">
        <is>
          <t>Sample row · delete when starting real audits</t>
        </is>
      </c>
      <c r="K6" s="62" t="n"/>
      <c r="L6" s="62" t="n"/>
      <c r="M6" s="62" t="n"/>
    </row>
    <row r="7" ht="24" customHeight="1">
      <c r="A7" s="55" t="n">
        <v>46215</v>
      </c>
      <c r="B7" s="56" t="inlineStr">
        <is>
          <t>Dr. Colón</t>
        </is>
      </c>
      <c r="C7" s="56" t="inlineStr">
        <is>
          <t>CLM-2026-003</t>
        </is>
      </c>
      <c r="D7" s="55" t="n">
        <v>46208</v>
      </c>
      <c r="E7" s="57" t="inlineStr">
        <is>
          <t>Diabetes</t>
        </is>
      </c>
      <c r="F7" s="58" t="n">
        <v>0.86</v>
      </c>
      <c r="G7" s="57" t="inlineStr">
        <is>
          <t>Needs Improvement</t>
        </is>
      </c>
      <c r="H7" s="56" t="inlineStr">
        <is>
          <t>E11.9 use, missing MEAT</t>
        </is>
      </c>
      <c r="I7" s="56" t="inlineStr">
        <is>
          <t>Sample row · delete when starting real audits</t>
        </is>
      </c>
      <c r="K7" s="62" t="n"/>
      <c r="L7" s="3" t="inlineStr">
        <is>
          <t>Claims audited</t>
        </is>
      </c>
      <c r="M7" s="89">
        <f>SUMPRODUCT(($B$5:$B$200=$M$4)*ISNUMBER($A$5:$A$200)*(TEXT($A$5:$A$200,"yyyy-mm")=$M$5)*1)</f>
        <v/>
      </c>
    </row>
    <row r="8" ht="24" customHeight="1">
      <c r="A8" s="55" t="n">
        <v>46218</v>
      </c>
      <c r="B8" s="56" t="inlineStr">
        <is>
          <t>Dr. Colón</t>
        </is>
      </c>
      <c r="C8" s="56" t="inlineStr">
        <is>
          <t>CLM-2026-004</t>
        </is>
      </c>
      <c r="D8" s="55" t="n">
        <v>46212</v>
      </c>
      <c r="E8" s="57" t="inlineStr">
        <is>
          <t>Annual Wellness Visit</t>
        </is>
      </c>
      <c r="F8" s="58" t="n">
        <v>0.9399999999999999</v>
      </c>
      <c r="G8" s="57" t="inlineStr">
        <is>
          <t>Meets Expectations</t>
        </is>
      </c>
      <c r="H8" s="56" t="inlineStr">
        <is>
          <t>PHQ-9 score not documented</t>
        </is>
      </c>
      <c r="I8" s="56" t="inlineStr">
        <is>
          <t>Sample row · delete when starting real audits</t>
        </is>
      </c>
      <c r="K8" s="62" t="n"/>
      <c r="L8" s="3" t="inlineStr">
        <is>
          <t>Average compliance %</t>
        </is>
      </c>
      <c r="M8" s="90">
        <f>IFERROR(SUMPRODUCT(($B$5:$B$200=$M$4)*ISNUMBER($A$5:$A$200)*(TEXT($A$5:$A$200,"yyyy-mm")=$M$5)*$F$5:$F$200)/SUMPRODUCT(($B$5:$B$200=$M$4)*ISNUMBER($A$5:$A$200)*(TEXT($A$5:$A$200,"yyyy-mm")=$M$5)*($F$5:$F$200&lt;&gt;"")),"")</f>
        <v/>
      </c>
    </row>
    <row r="9" ht="24" customHeight="1">
      <c r="A9" s="55" t="n">
        <v>46239</v>
      </c>
      <c r="B9" s="56" t="inlineStr">
        <is>
          <t>Dr. Rivera</t>
        </is>
      </c>
      <c r="C9" s="56" t="inlineStr">
        <is>
          <t>CLM-2026-005</t>
        </is>
      </c>
      <c r="D9" s="55" t="n">
        <v>46233</v>
      </c>
      <c r="E9" s="57" t="inlineStr">
        <is>
          <t>High RAF Patient</t>
        </is>
      </c>
      <c r="F9" s="58" t="n">
        <v>0.78</v>
      </c>
      <c r="G9" s="57" t="inlineStr">
        <is>
          <t>Corrective Education Required</t>
        </is>
      </c>
      <c r="H9" s="56" t="inlineStr">
        <is>
          <t>HCC recapture missed</t>
        </is>
      </c>
      <c r="I9" s="56" t="inlineStr">
        <is>
          <t>Sample row · delete when starting real audits</t>
        </is>
      </c>
      <c r="K9" s="62" t="n"/>
      <c r="L9" s="3" t="inlineStr">
        <is>
          <t>Charts — Excellent</t>
        </is>
      </c>
      <c r="M9" s="89">
        <f>SUMPRODUCT(($B$5:$B$200=$M$4)*ISNUMBER($A$5:$A$200)*(TEXT($A$5:$A$200,"yyyy-mm")=$M$5)*($G$5:$G$200="Excellent"))</f>
        <v/>
      </c>
    </row>
    <row r="10" ht="24" customHeight="1">
      <c r="A10" s="55" t="n">
        <v>46246</v>
      </c>
      <c r="B10" s="56" t="inlineStr">
        <is>
          <t>Dr. Colón</t>
        </is>
      </c>
      <c r="C10" s="56" t="inlineStr">
        <is>
          <t>CLM-2026-006</t>
        </is>
      </c>
      <c r="D10" s="55" t="n">
        <v>46238</v>
      </c>
      <c r="E10" s="57" t="inlineStr">
        <is>
          <t>Diabetes</t>
        </is>
      </c>
      <c r="F10" s="58" t="n">
        <v>0.9</v>
      </c>
      <c r="G10" s="57" t="inlineStr">
        <is>
          <t>Meets Expectations</t>
        </is>
      </c>
      <c r="H10" s="56" t="inlineStr">
        <is>
          <t>None</t>
        </is>
      </c>
      <c r="I10" s="56" t="inlineStr">
        <is>
          <t>Sample row · delete when starting real audits</t>
        </is>
      </c>
      <c r="K10" s="62" t="n"/>
      <c r="L10" s="3" t="inlineStr">
        <is>
          <t>Charts — Meets Expectations</t>
        </is>
      </c>
      <c r="M10" s="89">
        <f>SUMPRODUCT(($B$5:$B$200=$M$4)*ISNUMBER($A$5:$A$200)*(TEXT($A$5:$A$200,"yyyy-mm")=$M$5)*($G$5:$G$200="Meets Expectations"))</f>
        <v/>
      </c>
    </row>
    <row r="11" ht="24" customHeight="1">
      <c r="A11" s="55" t="n">
        <v>46254</v>
      </c>
      <c r="B11" s="56" t="inlineStr">
        <is>
          <t>Dr. Rivera</t>
        </is>
      </c>
      <c r="C11" s="56" t="inlineStr">
        <is>
          <t>CLM-2026-007</t>
        </is>
      </c>
      <c r="D11" s="55" t="n">
        <v>46249</v>
      </c>
      <c r="E11" s="57" t="inlineStr">
        <is>
          <t>Chronic Kidney Disease</t>
        </is>
      </c>
      <c r="F11" s="58" t="n">
        <v>0.88</v>
      </c>
      <c r="G11" s="57" t="inlineStr">
        <is>
          <t>Needs Improvement</t>
        </is>
      </c>
      <c r="H11" s="56" t="inlineStr">
        <is>
          <t>CKD stage unspecified</t>
        </is>
      </c>
      <c r="I11" s="56" t="inlineStr">
        <is>
          <t>Sample row · delete when starting real audits</t>
        </is>
      </c>
      <c r="K11" s="62" t="n"/>
      <c r="L11" s="3" t="inlineStr">
        <is>
          <t>Charts — Needs Improvement</t>
        </is>
      </c>
      <c r="M11" s="89">
        <f>SUMPRODUCT(($B$5:$B$200=$M$4)*ISNUMBER($A$5:$A$200)*(TEXT($A$5:$A$200,"yyyy-mm")=$M$5)*($G$5:$G$200="Needs Improvement"))</f>
        <v/>
      </c>
    </row>
    <row r="12" ht="24" customHeight="1">
      <c r="A12" s="55" t="n">
        <v>46268</v>
      </c>
      <c r="B12" s="56" t="inlineStr">
        <is>
          <t>Dr. Rivera</t>
        </is>
      </c>
      <c r="C12" s="56" t="inlineStr">
        <is>
          <t>CLM-2026-008</t>
        </is>
      </c>
      <c r="D12" s="55" t="n">
        <v>46262</v>
      </c>
      <c r="E12" s="57" t="inlineStr">
        <is>
          <t>Annual Wellness Visit</t>
        </is>
      </c>
      <c r="F12" s="58" t="n">
        <v>0.97</v>
      </c>
      <c r="G12" s="57" t="inlineStr">
        <is>
          <t>Excellent</t>
        </is>
      </c>
      <c r="H12" s="56" t="inlineStr">
        <is>
          <t>None</t>
        </is>
      </c>
      <c r="I12" s="56" t="inlineStr">
        <is>
          <t>Sample row · delete when starting real audits</t>
        </is>
      </c>
      <c r="K12" s="62" t="n"/>
      <c r="L12" s="3" t="inlineStr">
        <is>
          <t>Charts — Corrective Required</t>
        </is>
      </c>
      <c r="M12" s="89">
        <f>SUMPRODUCT(($B$5:$B$200=$M$4)*ISNUMBER($A$5:$A$200)*(TEXT($A$5:$A$200,"yyyy-mm")=$M$5)*($G$5:$G$200="Corrective Education Required"))</f>
        <v/>
      </c>
    </row>
    <row r="13" ht="24" customHeight="1">
      <c r="A13" s="55" t="n">
        <v>46275</v>
      </c>
      <c r="B13" s="56" t="inlineStr">
        <is>
          <t>Dr. Colón</t>
        </is>
      </c>
      <c r="C13" s="56" t="inlineStr">
        <is>
          <t>CLM-2026-009</t>
        </is>
      </c>
      <c r="D13" s="55" t="n">
        <v>46269</v>
      </c>
      <c r="E13" s="57" t="inlineStr">
        <is>
          <t>Random Selection</t>
        </is>
      </c>
      <c r="F13" s="58" t="n">
        <v>0.82</v>
      </c>
      <c r="G13" s="57" t="inlineStr">
        <is>
          <t>Needs Improvement</t>
        </is>
      </c>
      <c r="H13" s="56" t="inlineStr">
        <is>
          <t>Med rec not documented</t>
        </is>
      </c>
      <c r="I13" s="56" t="inlineStr">
        <is>
          <t>Sample row · delete when starting real audits</t>
        </is>
      </c>
      <c r="K13" s="62" t="n"/>
      <c r="L13" s="3" t="inlineStr">
        <is>
          <t>Provider Performance Band</t>
        </is>
      </c>
      <c r="M13" s="91">
        <f>IFERROR(IF(SUMPRODUCT(($B$5:$B$200=$M$4)*ISNUMBER($A$5:$A$200)*(TEXT($A$5:$A$200,"yyyy-mm")=$M$5)*($F$5:$F$200&lt;&gt;""))=0,"",IF(SUMPRODUCT(($B$5:$B$200=$M$4)*ISNUMBER($A$5:$A$200)*(TEXT($A$5:$A$200,"yyyy-mm")=$M$5)*$F$5:$F$200)/SUMPRODUCT(($B$5:$B$200=$M$4)*ISNUMBER($A$5:$A$200)*(TEXT($A$5:$A$200,"yyyy-mm")=$M$5)*($F$5:$F$200&lt;&gt;""))&gt;=0.95,"Excellent",IF(SUMPRODUCT(($B$5:$B$200=$M$4)*ISNUMBER($A$5:$A$200)*(TEXT($A$5:$A$200,"yyyy-mm")=$M$5)*$F$5:$F$200)/SUMPRODUCT(($B$5:$B$200=$M$4)*ISNUMBER($A$5:$A$200)*(TEXT($A$5:$A$200,"yyyy-mm")=$M$5)*($F$5:$F$200&lt;&gt;""))&gt;=0.9,"Meets Expectations",IF(SUMPRODUCT(($B$5:$B$200=$M$4)*ISNUMBER($A$5:$A$200)*(TEXT($A$5:$A$200,"yyyy-mm")=$M$5)*$F$5:$F$200)/SUMPRODUCT(($B$5:$B$200=$M$4)*ISNUMBER($A$5:$A$200)*(TEXT($A$5:$A$200,"yyyy-mm")=$M$5)*($F$5:$F$200&lt;&gt;""))&gt;=0.8,"Needs Improvement","Corrective Education Required")))),"")</f>
        <v/>
      </c>
    </row>
    <row r="14">
      <c r="A14" s="55" t="n">
        <v>46281</v>
      </c>
      <c r="B14" s="56" t="inlineStr">
        <is>
          <t>Dr. Colón</t>
        </is>
      </c>
      <c r="C14" s="56" t="inlineStr">
        <is>
          <t>CLM-2026-010</t>
        </is>
      </c>
      <c r="D14" s="55" t="n">
        <v>46276</v>
      </c>
      <c r="E14" s="57" t="inlineStr">
        <is>
          <t>High RAF Patient</t>
        </is>
      </c>
      <c r="F14" s="58" t="n">
        <v>0.93</v>
      </c>
      <c r="G14" s="57" t="inlineStr">
        <is>
          <t>Meets Expectations</t>
        </is>
      </c>
      <c r="H14" s="56" t="inlineStr">
        <is>
          <t>None</t>
        </is>
      </c>
      <c r="I14" s="56" t="inlineStr">
        <is>
          <t>Sample row · delete when starting real audits</t>
        </is>
      </c>
      <c r="K14" s="62" t="n"/>
      <c r="L14" s="62" t="n"/>
      <c r="M14" s="62" t="n"/>
    </row>
    <row r="15">
      <c r="A15" s="9" t="n"/>
      <c r="B15" s="10" t="n"/>
      <c r="C15" s="10" t="n"/>
      <c r="D15" s="9" t="n"/>
      <c r="E15" s="9" t="n"/>
      <c r="F15" s="12" t="n"/>
      <c r="G15" s="9" t="n"/>
      <c r="H15" s="10" t="n"/>
      <c r="I15" s="10" t="n"/>
      <c r="K15" s="62" t="n"/>
      <c r="L15" s="62" t="n"/>
      <c r="M15" s="62" t="n"/>
    </row>
    <row r="16">
      <c r="A16" s="9" t="n"/>
      <c r="B16" s="10" t="n"/>
      <c r="C16" s="10" t="n"/>
      <c r="D16" s="9" t="n"/>
      <c r="E16" s="9" t="n"/>
      <c r="F16" s="12" t="n"/>
      <c r="G16" s="9" t="n"/>
      <c r="H16" s="10" t="n"/>
      <c r="I16" s="10" t="n"/>
      <c r="K16" s="62" t="n"/>
      <c r="L16" s="62" t="n"/>
      <c r="M16" s="62" t="n"/>
    </row>
    <row r="17">
      <c r="A17" s="9" t="n"/>
      <c r="B17" s="10" t="n"/>
      <c r="C17" s="10" t="n"/>
      <c r="D17" s="9" t="n"/>
      <c r="E17" s="9" t="n"/>
      <c r="F17" s="12" t="n"/>
      <c r="G17" s="9" t="n"/>
      <c r="H17" s="10" t="n"/>
      <c r="I17" s="10" t="n"/>
      <c r="K17" s="62" t="n"/>
      <c r="L17" s="62" t="n"/>
      <c r="M17" s="62" t="n"/>
    </row>
    <row r="18">
      <c r="A18" s="9" t="n"/>
      <c r="B18" s="10" t="n"/>
      <c r="C18" s="10" t="n"/>
      <c r="D18" s="9" t="n"/>
      <c r="E18" s="9" t="n"/>
      <c r="F18" s="12" t="n"/>
      <c r="G18" s="9" t="n"/>
      <c r="H18" s="10" t="n"/>
      <c r="I18" s="10" t="n"/>
      <c r="K18" s="62" t="n"/>
      <c r="L18" s="62" t="n"/>
      <c r="M18" s="62" t="n"/>
    </row>
    <row r="19">
      <c r="A19" s="9" t="n"/>
      <c r="B19" s="10" t="n"/>
      <c r="C19" s="10" t="n"/>
      <c r="D19" s="9" t="n"/>
      <c r="E19" s="9" t="n"/>
      <c r="F19" s="12" t="n"/>
      <c r="G19" s="9" t="n"/>
      <c r="H19" s="10" t="n"/>
      <c r="I19" s="10" t="n"/>
      <c r="K19" s="62" t="n"/>
      <c r="L19" s="62" t="n"/>
      <c r="M19" s="62" t="n"/>
    </row>
    <row r="20">
      <c r="A20" s="9" t="n"/>
      <c r="B20" s="10" t="n"/>
      <c r="C20" s="10" t="n"/>
      <c r="D20" s="9" t="n"/>
      <c r="E20" s="9" t="n"/>
      <c r="F20" s="12" t="n"/>
      <c r="G20" s="9" t="n"/>
      <c r="H20" s="10" t="n"/>
      <c r="I20" s="10" t="n"/>
      <c r="K20" s="62" t="n"/>
      <c r="L20" s="62" t="n"/>
      <c r="M20" s="62" t="n"/>
    </row>
    <row r="21">
      <c r="A21" s="9" t="n"/>
      <c r="B21" s="10" t="n"/>
      <c r="C21" s="10" t="n"/>
      <c r="D21" s="9" t="n"/>
      <c r="E21" s="9" t="n"/>
      <c r="F21" s="12" t="n"/>
      <c r="G21" s="9" t="n"/>
      <c r="H21" s="10" t="n"/>
      <c r="I21" s="10" t="n"/>
      <c r="K21" s="62" t="n"/>
      <c r="L21" s="62" t="n"/>
      <c r="M21" s="62" t="n"/>
    </row>
    <row r="22">
      <c r="A22" s="9" t="n"/>
      <c r="B22" s="10" t="n"/>
      <c r="C22" s="10" t="n"/>
      <c r="D22" s="9" t="n"/>
      <c r="E22" s="9" t="n"/>
      <c r="F22" s="12" t="n"/>
      <c r="G22" s="9" t="n"/>
      <c r="H22" s="10" t="n"/>
      <c r="I22" s="10" t="n"/>
      <c r="K22" s="62" t="n"/>
      <c r="L22" s="62" t="n"/>
      <c r="M22" s="62" t="n"/>
    </row>
    <row r="23">
      <c r="A23" s="9" t="n"/>
      <c r="B23" s="10" t="n"/>
      <c r="C23" s="10" t="n"/>
      <c r="D23" s="9" t="n"/>
      <c r="E23" s="9" t="n"/>
      <c r="F23" s="12" t="n"/>
      <c r="G23" s="9" t="n"/>
      <c r="H23" s="10" t="n"/>
      <c r="I23" s="10" t="n"/>
      <c r="K23" s="62" t="n"/>
      <c r="L23" s="62" t="n"/>
      <c r="M23" s="62" t="n"/>
    </row>
    <row r="24">
      <c r="A24" s="9" t="n"/>
      <c r="B24" s="10" t="n"/>
      <c r="C24" s="10" t="n"/>
      <c r="D24" s="9" t="n"/>
      <c r="E24" s="9" t="n"/>
      <c r="F24" s="12" t="n"/>
      <c r="G24" s="9" t="n"/>
      <c r="H24" s="10" t="n"/>
      <c r="I24" s="10" t="n"/>
      <c r="K24" s="62" t="n"/>
      <c r="L24" s="62" t="n"/>
      <c r="M24" s="62" t="n"/>
    </row>
    <row r="25">
      <c r="A25" s="9" t="n"/>
      <c r="B25" s="10" t="n"/>
      <c r="C25" s="10" t="n"/>
      <c r="D25" s="9" t="n"/>
      <c r="E25" s="9" t="n"/>
      <c r="F25" s="12" t="n"/>
      <c r="G25" s="9" t="n"/>
      <c r="H25" s="10" t="n"/>
      <c r="I25" s="10" t="n"/>
      <c r="K25" s="62" t="n"/>
      <c r="L25" s="62" t="n"/>
      <c r="M25" s="62" t="n"/>
    </row>
    <row r="26">
      <c r="A26" s="9" t="n"/>
      <c r="B26" s="10" t="n"/>
      <c r="C26" s="10" t="n"/>
      <c r="D26" s="9" t="n"/>
      <c r="E26" s="9" t="n"/>
      <c r="F26" s="12" t="n"/>
      <c r="G26" s="9" t="n"/>
      <c r="H26" s="10" t="n"/>
      <c r="I26" s="10" t="n"/>
      <c r="K26" s="62" t="n"/>
      <c r="L26" s="62" t="n"/>
      <c r="M26" s="62" t="n"/>
    </row>
    <row r="27">
      <c r="A27" s="9" t="n"/>
      <c r="B27" s="10" t="n"/>
      <c r="C27" s="10" t="n"/>
      <c r="D27" s="9" t="n"/>
      <c r="E27" s="9" t="n"/>
      <c r="F27" s="12" t="n"/>
      <c r="G27" s="9" t="n"/>
      <c r="H27" s="10" t="n"/>
      <c r="I27" s="10" t="n"/>
      <c r="K27" s="62" t="n"/>
      <c r="L27" s="62" t="n"/>
      <c r="M27" s="62" t="n"/>
    </row>
    <row r="28">
      <c r="A28" s="9" t="n"/>
      <c r="B28" s="10" t="n"/>
      <c r="C28" s="10" t="n"/>
      <c r="D28" s="9" t="n"/>
      <c r="E28" s="9" t="n"/>
      <c r="F28" s="12" t="n"/>
      <c r="G28" s="9" t="n"/>
      <c r="H28" s="10" t="n"/>
      <c r="I28" s="10" t="n"/>
      <c r="K28" s="62" t="n"/>
      <c r="L28" s="62" t="n"/>
      <c r="M28" s="62" t="n"/>
    </row>
    <row r="29">
      <c r="A29" s="9" t="n"/>
      <c r="B29" s="10" t="n"/>
      <c r="C29" s="10" t="n"/>
      <c r="D29" s="9" t="n"/>
      <c r="E29" s="9" t="n"/>
      <c r="F29" s="12" t="n"/>
      <c r="G29" s="9" t="n"/>
      <c r="H29" s="10" t="n"/>
      <c r="I29" s="10" t="n"/>
      <c r="K29" s="62" t="n"/>
      <c r="L29" s="62" t="n"/>
      <c r="M29" s="62" t="n"/>
    </row>
    <row r="30">
      <c r="A30" s="9" t="n"/>
      <c r="B30" s="10" t="n"/>
      <c r="C30" s="10" t="n"/>
      <c r="D30" s="9" t="n"/>
      <c r="E30" s="9" t="n"/>
      <c r="F30" s="12" t="n"/>
      <c r="G30" s="9" t="n"/>
      <c r="H30" s="10" t="n"/>
      <c r="I30" s="10" t="n"/>
      <c r="K30" s="62" t="n"/>
      <c r="L30" s="62" t="n"/>
      <c r="M30" s="62" t="n"/>
    </row>
    <row r="31">
      <c r="A31" s="9" t="n"/>
      <c r="B31" s="10" t="n"/>
      <c r="C31" s="10" t="n"/>
      <c r="D31" s="9" t="n"/>
      <c r="E31" s="9" t="n"/>
      <c r="F31" s="12" t="n"/>
      <c r="G31" s="9" t="n"/>
      <c r="H31" s="10" t="n"/>
      <c r="I31" s="10" t="n"/>
      <c r="K31" s="62" t="n"/>
      <c r="L31" s="62" t="n"/>
      <c r="M31" s="62" t="n"/>
    </row>
    <row r="32">
      <c r="A32" s="9" t="n"/>
      <c r="B32" s="10" t="n"/>
      <c r="C32" s="10" t="n"/>
      <c r="D32" s="9" t="n"/>
      <c r="E32" s="9" t="n"/>
      <c r="F32" s="12" t="n"/>
      <c r="G32" s="9" t="n"/>
      <c r="H32" s="10" t="n"/>
      <c r="I32" s="10" t="n"/>
      <c r="K32" s="62" t="n"/>
      <c r="L32" s="62" t="n"/>
      <c r="M32" s="62" t="n"/>
    </row>
    <row r="33">
      <c r="A33" s="9" t="n"/>
      <c r="B33" s="10" t="n"/>
      <c r="C33" s="10" t="n"/>
      <c r="D33" s="9" t="n"/>
      <c r="E33" s="9" t="n"/>
      <c r="F33" s="12" t="n"/>
      <c r="G33" s="9" t="n"/>
      <c r="H33" s="10" t="n"/>
      <c r="I33" s="10" t="n"/>
      <c r="K33" s="62" t="n"/>
      <c r="L33" s="62" t="n"/>
      <c r="M33" s="62" t="n"/>
    </row>
    <row r="34">
      <c r="A34" s="9" t="n"/>
      <c r="B34" s="10" t="n"/>
      <c r="C34" s="10" t="n"/>
      <c r="D34" s="9" t="n"/>
      <c r="E34" s="9" t="n"/>
      <c r="F34" s="12" t="n"/>
      <c r="G34" s="9" t="n"/>
      <c r="H34" s="10" t="n"/>
      <c r="I34" s="10" t="n"/>
      <c r="K34" s="62" t="n"/>
      <c r="L34" s="62" t="n"/>
      <c r="M34" s="62" t="n"/>
    </row>
    <row r="35">
      <c r="A35" s="9" t="n"/>
      <c r="B35" s="10" t="n"/>
      <c r="C35" s="10" t="n"/>
      <c r="D35" s="9" t="n"/>
      <c r="E35" s="9" t="n"/>
      <c r="F35" s="12" t="n"/>
      <c r="G35" s="9" t="n"/>
      <c r="H35" s="10" t="n"/>
      <c r="I35" s="10" t="n"/>
      <c r="K35" s="62" t="n"/>
      <c r="L35" s="62" t="n"/>
      <c r="M35" s="62" t="n"/>
    </row>
    <row r="36">
      <c r="A36" s="9" t="n"/>
      <c r="B36" s="10" t="n"/>
      <c r="C36" s="10" t="n"/>
      <c r="D36" s="9" t="n"/>
      <c r="E36" s="9" t="n"/>
      <c r="F36" s="12" t="n"/>
      <c r="G36" s="9" t="n"/>
      <c r="H36" s="10" t="n"/>
      <c r="I36" s="10" t="n"/>
      <c r="K36" s="62" t="n"/>
      <c r="L36" s="62" t="n"/>
      <c r="M36" s="62" t="n"/>
    </row>
    <row r="37">
      <c r="A37" s="9" t="n"/>
      <c r="B37" s="10" t="n"/>
      <c r="C37" s="10" t="n"/>
      <c r="D37" s="9" t="n"/>
      <c r="E37" s="9" t="n"/>
      <c r="F37" s="12" t="n"/>
      <c r="G37" s="9" t="n"/>
      <c r="H37" s="10" t="n"/>
      <c r="I37" s="10" t="n"/>
      <c r="K37" s="62" t="n"/>
      <c r="L37" s="62" t="n"/>
      <c r="M37" s="62" t="n"/>
    </row>
    <row r="38">
      <c r="A38" s="9" t="n"/>
      <c r="B38" s="10" t="n"/>
      <c r="C38" s="10" t="n"/>
      <c r="D38" s="9" t="n"/>
      <c r="E38" s="9" t="n"/>
      <c r="F38" s="12" t="n"/>
      <c r="G38" s="9" t="n"/>
      <c r="H38" s="10" t="n"/>
      <c r="I38" s="10" t="n"/>
      <c r="K38" s="62" t="n"/>
      <c r="L38" s="62" t="n"/>
      <c r="M38" s="62" t="n"/>
    </row>
    <row r="39">
      <c r="A39" s="9" t="n"/>
      <c r="B39" s="10" t="n"/>
      <c r="C39" s="10" t="n"/>
      <c r="D39" s="9" t="n"/>
      <c r="E39" s="9" t="n"/>
      <c r="F39" s="12" t="n"/>
      <c r="G39" s="9" t="n"/>
      <c r="H39" s="10" t="n"/>
      <c r="I39" s="10" t="n"/>
      <c r="K39" s="62" t="n"/>
      <c r="L39" s="62" t="n"/>
      <c r="M39" s="62" t="n"/>
    </row>
    <row r="40">
      <c r="A40" s="9" t="n"/>
      <c r="B40" s="10" t="n"/>
      <c r="C40" s="10" t="n"/>
      <c r="D40" s="9" t="n"/>
      <c r="E40" s="9" t="n"/>
      <c r="F40" s="12" t="n"/>
      <c r="G40" s="9" t="n"/>
      <c r="H40" s="10" t="n"/>
      <c r="I40" s="10" t="n"/>
    </row>
    <row r="41">
      <c r="A41" s="9" t="n"/>
      <c r="B41" s="10" t="n"/>
      <c r="C41" s="10" t="n"/>
      <c r="D41" s="9" t="n"/>
      <c r="E41" s="9" t="n"/>
      <c r="F41" s="12" t="n"/>
      <c r="G41" s="9" t="n"/>
      <c r="H41" s="10" t="n"/>
      <c r="I41" s="10" t="n"/>
    </row>
    <row r="42">
      <c r="A42" s="9" t="n"/>
      <c r="B42" s="10" t="n"/>
      <c r="C42" s="10" t="n"/>
      <c r="D42" s="9" t="n"/>
      <c r="E42" s="9" t="n"/>
      <c r="F42" s="12" t="n"/>
      <c r="G42" s="9" t="n"/>
      <c r="H42" s="10" t="n"/>
      <c r="I42" s="10" t="n"/>
    </row>
    <row r="43">
      <c r="A43" s="9" t="n"/>
      <c r="B43" s="10" t="n"/>
      <c r="C43" s="10" t="n"/>
      <c r="D43" s="9" t="n"/>
      <c r="E43" s="9" t="n"/>
      <c r="F43" s="12" t="n"/>
      <c r="G43" s="9" t="n"/>
      <c r="H43" s="10" t="n"/>
      <c r="I43" s="10" t="n"/>
    </row>
    <row r="44">
      <c r="A44" s="9" t="n"/>
      <c r="B44" s="10" t="n"/>
      <c r="C44" s="10" t="n"/>
      <c r="D44" s="9" t="n"/>
      <c r="E44" s="9" t="n"/>
      <c r="F44" s="12" t="n"/>
      <c r="G44" s="9" t="n"/>
      <c r="H44" s="10" t="n"/>
      <c r="I44" s="10" t="n"/>
    </row>
    <row r="45">
      <c r="A45" s="9" t="n"/>
      <c r="B45" s="10" t="n"/>
      <c r="C45" s="10" t="n"/>
      <c r="D45" s="9" t="n"/>
      <c r="E45" s="9" t="n"/>
      <c r="F45" s="12" t="n"/>
      <c r="G45" s="9" t="n"/>
      <c r="H45" s="10" t="n"/>
      <c r="I45" s="10" t="n"/>
    </row>
    <row r="46">
      <c r="A46" s="9" t="n"/>
      <c r="B46" s="10" t="n"/>
      <c r="C46" s="10" t="n"/>
      <c r="D46" s="9" t="n"/>
      <c r="E46" s="9" t="n"/>
      <c r="F46" s="12" t="n"/>
      <c r="G46" s="9" t="n"/>
      <c r="H46" s="10" t="n"/>
      <c r="I46" s="10" t="n"/>
    </row>
    <row r="47">
      <c r="A47" s="9" t="n"/>
      <c r="B47" s="10" t="n"/>
      <c r="C47" s="10" t="n"/>
      <c r="D47" s="9" t="n"/>
      <c r="E47" s="9" t="n"/>
      <c r="F47" s="12" t="n"/>
      <c r="G47" s="9" t="n"/>
      <c r="H47" s="10" t="n"/>
      <c r="I47" s="10" t="n"/>
    </row>
    <row r="48">
      <c r="A48" s="9" t="n"/>
      <c r="B48" s="10" t="n"/>
      <c r="C48" s="10" t="n"/>
      <c r="D48" s="9" t="n"/>
      <c r="E48" s="9" t="n"/>
      <c r="F48" s="12" t="n"/>
      <c r="G48" s="9" t="n"/>
      <c r="H48" s="10" t="n"/>
      <c r="I48" s="10" t="n"/>
    </row>
    <row r="49">
      <c r="A49" s="9" t="n"/>
      <c r="B49" s="10" t="n"/>
      <c r="C49" s="10" t="n"/>
      <c r="D49" s="9" t="n"/>
      <c r="E49" s="9" t="n"/>
      <c r="F49" s="12" t="n"/>
      <c r="G49" s="9" t="n"/>
      <c r="H49" s="10" t="n"/>
      <c r="I49" s="10" t="n"/>
    </row>
    <row r="50">
      <c r="A50" s="9" t="n"/>
      <c r="B50" s="10" t="n"/>
      <c r="C50" s="10" t="n"/>
      <c r="D50" s="9" t="n"/>
      <c r="E50" s="9" t="n"/>
      <c r="F50" s="12" t="n"/>
      <c r="G50" s="9" t="n"/>
      <c r="H50" s="10" t="n"/>
      <c r="I50" s="10" t="n"/>
    </row>
    <row r="51">
      <c r="A51" s="9" t="n"/>
      <c r="B51" s="10" t="n"/>
      <c r="C51" s="10" t="n"/>
      <c r="D51" s="9" t="n"/>
      <c r="E51" s="9" t="n"/>
      <c r="F51" s="12" t="n"/>
      <c r="G51" s="9" t="n"/>
      <c r="H51" s="10" t="n"/>
      <c r="I51" s="10" t="n"/>
    </row>
    <row r="52">
      <c r="A52" s="9" t="n"/>
      <c r="B52" s="10" t="n"/>
      <c r="C52" s="10" t="n"/>
      <c r="D52" s="9" t="n"/>
      <c r="E52" s="9" t="n"/>
      <c r="F52" s="12" t="n"/>
      <c r="G52" s="9" t="n"/>
      <c r="H52" s="10" t="n"/>
      <c r="I52" s="10" t="n"/>
    </row>
    <row r="53">
      <c r="A53" s="9" t="n"/>
      <c r="B53" s="10" t="n"/>
      <c r="C53" s="10" t="n"/>
      <c r="D53" s="9" t="n"/>
      <c r="E53" s="9" t="n"/>
      <c r="F53" s="12" t="n"/>
      <c r="G53" s="9" t="n"/>
      <c r="H53" s="10" t="n"/>
      <c r="I53" s="10" t="n"/>
    </row>
    <row r="54">
      <c r="A54" s="9" t="n"/>
      <c r="B54" s="10" t="n"/>
      <c r="C54" s="10" t="n"/>
      <c r="D54" s="9" t="n"/>
      <c r="E54" s="9" t="n"/>
      <c r="F54" s="12" t="n"/>
      <c r="G54" s="9" t="n"/>
      <c r="H54" s="10" t="n"/>
      <c r="I54" s="10" t="n"/>
    </row>
    <row r="55">
      <c r="A55" s="9" t="n"/>
      <c r="B55" s="10" t="n"/>
      <c r="C55" s="10" t="n"/>
      <c r="D55" s="9" t="n"/>
      <c r="E55" s="9" t="n"/>
      <c r="F55" s="12" t="n"/>
      <c r="G55" s="9" t="n"/>
      <c r="H55" s="10" t="n"/>
      <c r="I55" s="10" t="n"/>
    </row>
    <row r="56">
      <c r="A56" s="9" t="n"/>
      <c r="B56" s="10" t="n"/>
      <c r="C56" s="10" t="n"/>
      <c r="D56" s="9" t="n"/>
      <c r="E56" s="9" t="n"/>
      <c r="F56" s="12" t="n"/>
      <c r="G56" s="9" t="n"/>
      <c r="H56" s="10" t="n"/>
      <c r="I56" s="10" t="n"/>
    </row>
    <row r="57">
      <c r="A57" s="9" t="n"/>
      <c r="B57" s="10" t="n"/>
      <c r="C57" s="10" t="n"/>
      <c r="D57" s="9" t="n"/>
      <c r="E57" s="9" t="n"/>
      <c r="F57" s="12" t="n"/>
      <c r="G57" s="9" t="n"/>
      <c r="H57" s="10" t="n"/>
      <c r="I57" s="10" t="n"/>
    </row>
    <row r="58">
      <c r="A58" s="9" t="n"/>
      <c r="B58" s="10" t="n"/>
      <c r="C58" s="10" t="n"/>
      <c r="D58" s="9" t="n"/>
      <c r="E58" s="9" t="n"/>
      <c r="F58" s="12" t="n"/>
      <c r="G58" s="9" t="n"/>
      <c r="H58" s="10" t="n"/>
      <c r="I58" s="10" t="n"/>
    </row>
    <row r="59">
      <c r="A59" s="9" t="n"/>
      <c r="B59" s="10" t="n"/>
      <c r="C59" s="10" t="n"/>
      <c r="D59" s="9" t="n"/>
      <c r="E59" s="9" t="n"/>
      <c r="F59" s="12" t="n"/>
      <c r="G59" s="9" t="n"/>
      <c r="H59" s="10" t="n"/>
      <c r="I59" s="10" t="n"/>
    </row>
    <row r="60">
      <c r="A60" s="9" t="n"/>
      <c r="B60" s="10" t="n"/>
      <c r="C60" s="10" t="n"/>
      <c r="D60" s="9" t="n"/>
      <c r="E60" s="9" t="n"/>
      <c r="F60" s="12" t="n"/>
      <c r="G60" s="9" t="n"/>
      <c r="H60" s="10" t="n"/>
      <c r="I60" s="10" t="n"/>
    </row>
    <row r="61">
      <c r="A61" s="9" t="n"/>
      <c r="B61" s="10" t="n"/>
      <c r="C61" s="10" t="n"/>
      <c r="D61" s="9" t="n"/>
      <c r="E61" s="9" t="n"/>
      <c r="F61" s="12" t="n"/>
      <c r="G61" s="9" t="n"/>
      <c r="H61" s="10" t="n"/>
      <c r="I61" s="10" t="n"/>
    </row>
    <row r="62">
      <c r="A62" s="9" t="n"/>
      <c r="B62" s="10" t="n"/>
      <c r="C62" s="10" t="n"/>
      <c r="D62" s="9" t="n"/>
      <c r="E62" s="9" t="n"/>
      <c r="F62" s="12" t="n"/>
      <c r="G62" s="9" t="n"/>
      <c r="H62" s="10" t="n"/>
      <c r="I62" s="10" t="n"/>
    </row>
    <row r="63">
      <c r="A63" s="9" t="n"/>
      <c r="B63" s="10" t="n"/>
      <c r="C63" s="10" t="n"/>
      <c r="D63" s="9" t="n"/>
      <c r="E63" s="9" t="n"/>
      <c r="F63" s="12" t="n"/>
      <c r="G63" s="9" t="n"/>
      <c r="H63" s="10" t="n"/>
      <c r="I63" s="10" t="n"/>
    </row>
    <row r="64">
      <c r="A64" s="9" t="n"/>
      <c r="B64" s="10" t="n"/>
      <c r="C64" s="10" t="n"/>
      <c r="D64" s="9" t="n"/>
      <c r="E64" s="9" t="n"/>
      <c r="F64" s="12" t="n"/>
      <c r="G64" s="9" t="n"/>
      <c r="H64" s="10" t="n"/>
      <c r="I64" s="10" t="n"/>
    </row>
    <row r="65">
      <c r="A65" s="9" t="n"/>
      <c r="B65" s="10" t="n"/>
      <c r="C65" s="10" t="n"/>
      <c r="D65" s="9" t="n"/>
      <c r="E65" s="9" t="n"/>
      <c r="F65" s="12" t="n"/>
      <c r="G65" s="9" t="n"/>
      <c r="H65" s="10" t="n"/>
      <c r="I65" s="10" t="n"/>
    </row>
    <row r="66">
      <c r="A66" s="9" t="n"/>
      <c r="B66" s="10" t="n"/>
      <c r="C66" s="10" t="n"/>
      <c r="D66" s="9" t="n"/>
      <c r="E66" s="9" t="n"/>
      <c r="F66" s="12" t="n"/>
      <c r="G66" s="9" t="n"/>
      <c r="H66" s="10" t="n"/>
      <c r="I66" s="10" t="n"/>
    </row>
    <row r="67">
      <c r="A67" s="9" t="n"/>
      <c r="B67" s="10" t="n"/>
      <c r="C67" s="10" t="n"/>
      <c r="D67" s="9" t="n"/>
      <c r="E67" s="9" t="n"/>
      <c r="F67" s="12" t="n"/>
      <c r="G67" s="9" t="n"/>
      <c r="H67" s="10" t="n"/>
      <c r="I67" s="10" t="n"/>
    </row>
    <row r="68">
      <c r="A68" s="9" t="n"/>
      <c r="B68" s="10" t="n"/>
      <c r="C68" s="10" t="n"/>
      <c r="D68" s="9" t="n"/>
      <c r="E68" s="9" t="n"/>
      <c r="F68" s="12" t="n"/>
      <c r="G68" s="9" t="n"/>
      <c r="H68" s="10" t="n"/>
      <c r="I68" s="10" t="n"/>
    </row>
    <row r="69">
      <c r="A69" s="9" t="n"/>
      <c r="B69" s="10" t="n"/>
      <c r="C69" s="10" t="n"/>
      <c r="D69" s="9" t="n"/>
      <c r="E69" s="9" t="n"/>
      <c r="F69" s="12" t="n"/>
      <c r="G69" s="9" t="n"/>
      <c r="H69" s="10" t="n"/>
      <c r="I69" s="10" t="n"/>
    </row>
    <row r="70">
      <c r="A70" s="9" t="n"/>
      <c r="B70" s="10" t="n"/>
      <c r="C70" s="10" t="n"/>
      <c r="D70" s="9" t="n"/>
      <c r="E70" s="9" t="n"/>
      <c r="F70" s="12" t="n"/>
      <c r="G70" s="9" t="n"/>
      <c r="H70" s="10" t="n"/>
      <c r="I70" s="10" t="n"/>
    </row>
    <row r="71">
      <c r="A71" s="9" t="n"/>
      <c r="B71" s="10" t="n"/>
      <c r="C71" s="10" t="n"/>
      <c r="D71" s="9" t="n"/>
      <c r="E71" s="9" t="n"/>
      <c r="F71" s="12" t="n"/>
      <c r="G71" s="9" t="n"/>
      <c r="H71" s="10" t="n"/>
      <c r="I71" s="10" t="n"/>
    </row>
    <row r="72">
      <c r="A72" s="9" t="n"/>
      <c r="B72" s="10" t="n"/>
      <c r="C72" s="10" t="n"/>
      <c r="D72" s="9" t="n"/>
      <c r="E72" s="9" t="n"/>
      <c r="F72" s="12" t="n"/>
      <c r="G72" s="9" t="n"/>
      <c r="H72" s="10" t="n"/>
      <c r="I72" s="10" t="n"/>
    </row>
    <row r="73">
      <c r="A73" s="9" t="n"/>
      <c r="B73" s="10" t="n"/>
      <c r="C73" s="10" t="n"/>
      <c r="D73" s="9" t="n"/>
      <c r="E73" s="9" t="n"/>
      <c r="F73" s="12" t="n"/>
      <c r="G73" s="9" t="n"/>
      <c r="H73" s="10" t="n"/>
      <c r="I73" s="10" t="n"/>
    </row>
    <row r="74">
      <c r="A74" s="9" t="n"/>
      <c r="B74" s="10" t="n"/>
      <c r="C74" s="10" t="n"/>
      <c r="D74" s="9" t="n"/>
      <c r="E74" s="9" t="n"/>
      <c r="F74" s="12" t="n"/>
      <c r="G74" s="9" t="n"/>
      <c r="H74" s="10" t="n"/>
      <c r="I74" s="10" t="n"/>
    </row>
    <row r="75">
      <c r="A75" s="9" t="n"/>
      <c r="B75" s="10" t="n"/>
      <c r="C75" s="10" t="n"/>
      <c r="D75" s="9" t="n"/>
      <c r="E75" s="9" t="n"/>
      <c r="F75" s="12" t="n"/>
      <c r="G75" s="9" t="n"/>
      <c r="H75" s="10" t="n"/>
      <c r="I75" s="10" t="n"/>
    </row>
    <row r="76">
      <c r="A76" s="9" t="n"/>
      <c r="B76" s="10" t="n"/>
      <c r="C76" s="10" t="n"/>
      <c r="D76" s="9" t="n"/>
      <c r="E76" s="9" t="n"/>
      <c r="F76" s="12" t="n"/>
      <c r="G76" s="9" t="n"/>
      <c r="H76" s="10" t="n"/>
      <c r="I76" s="10" t="n"/>
    </row>
    <row r="77">
      <c r="A77" s="9" t="n"/>
      <c r="B77" s="10" t="n"/>
      <c r="C77" s="10" t="n"/>
      <c r="D77" s="9" t="n"/>
      <c r="E77" s="9" t="n"/>
      <c r="F77" s="12" t="n"/>
      <c r="G77" s="9" t="n"/>
      <c r="H77" s="10" t="n"/>
      <c r="I77" s="10" t="n"/>
    </row>
    <row r="78">
      <c r="A78" s="9" t="n"/>
      <c r="B78" s="10" t="n"/>
      <c r="C78" s="10" t="n"/>
      <c r="D78" s="9" t="n"/>
      <c r="E78" s="9" t="n"/>
      <c r="F78" s="12" t="n"/>
      <c r="G78" s="9" t="n"/>
      <c r="H78" s="10" t="n"/>
      <c r="I78" s="10" t="n"/>
    </row>
    <row r="79">
      <c r="A79" s="9" t="n"/>
      <c r="B79" s="10" t="n"/>
      <c r="C79" s="10" t="n"/>
      <c r="D79" s="9" t="n"/>
      <c r="E79" s="9" t="n"/>
      <c r="F79" s="12" t="n"/>
      <c r="G79" s="9" t="n"/>
      <c r="H79" s="10" t="n"/>
      <c r="I79" s="10" t="n"/>
    </row>
    <row r="80">
      <c r="A80" s="9" t="n"/>
      <c r="B80" s="10" t="n"/>
      <c r="C80" s="10" t="n"/>
      <c r="D80" s="9" t="n"/>
      <c r="E80" s="9" t="n"/>
      <c r="F80" s="12" t="n"/>
      <c r="G80" s="9" t="n"/>
      <c r="H80" s="10" t="n"/>
      <c r="I80" s="10" t="n"/>
    </row>
    <row r="81">
      <c r="A81" s="9" t="n"/>
      <c r="B81" s="10" t="n"/>
      <c r="C81" s="10" t="n"/>
      <c r="D81" s="9" t="n"/>
      <c r="E81" s="9" t="n"/>
      <c r="F81" s="12" t="n"/>
      <c r="G81" s="9" t="n"/>
      <c r="H81" s="10" t="n"/>
      <c r="I81" s="10" t="n"/>
    </row>
    <row r="82">
      <c r="A82" s="9" t="n"/>
      <c r="B82" s="10" t="n"/>
      <c r="C82" s="10" t="n"/>
      <c r="D82" s="9" t="n"/>
      <c r="E82" s="9" t="n"/>
      <c r="F82" s="12" t="n"/>
      <c r="G82" s="9" t="n"/>
      <c r="H82" s="10" t="n"/>
      <c r="I82" s="10" t="n"/>
    </row>
    <row r="83">
      <c r="A83" s="9" t="n"/>
      <c r="B83" s="10" t="n"/>
      <c r="C83" s="10" t="n"/>
      <c r="D83" s="9" t="n"/>
      <c r="E83" s="9" t="n"/>
      <c r="F83" s="12" t="n"/>
      <c r="G83" s="9" t="n"/>
      <c r="H83" s="10" t="n"/>
      <c r="I83" s="10" t="n"/>
    </row>
    <row r="84">
      <c r="A84" s="9" t="n"/>
      <c r="B84" s="10" t="n"/>
      <c r="C84" s="10" t="n"/>
      <c r="D84" s="9" t="n"/>
      <c r="E84" s="9" t="n"/>
      <c r="F84" s="12" t="n"/>
      <c r="G84" s="9" t="n"/>
      <c r="H84" s="10" t="n"/>
      <c r="I84" s="10" t="n"/>
    </row>
    <row r="85">
      <c r="A85" s="9" t="n"/>
      <c r="B85" s="10" t="n"/>
      <c r="C85" s="10" t="n"/>
      <c r="D85" s="9" t="n"/>
      <c r="E85" s="9" t="n"/>
      <c r="F85" s="12" t="n"/>
      <c r="G85" s="9" t="n"/>
      <c r="H85" s="10" t="n"/>
      <c r="I85" s="10" t="n"/>
    </row>
    <row r="86">
      <c r="A86" s="9" t="n"/>
      <c r="B86" s="10" t="n"/>
      <c r="C86" s="10" t="n"/>
      <c r="D86" s="9" t="n"/>
      <c r="E86" s="9" t="n"/>
      <c r="F86" s="12" t="n"/>
      <c r="G86" s="9" t="n"/>
      <c r="H86" s="10" t="n"/>
      <c r="I86" s="10" t="n"/>
    </row>
    <row r="87">
      <c r="A87" s="9" t="n"/>
      <c r="B87" s="10" t="n"/>
      <c r="C87" s="10" t="n"/>
      <c r="D87" s="9" t="n"/>
      <c r="E87" s="9" t="n"/>
      <c r="F87" s="12" t="n"/>
      <c r="G87" s="9" t="n"/>
      <c r="H87" s="10" t="n"/>
      <c r="I87" s="10" t="n"/>
    </row>
    <row r="88">
      <c r="A88" s="9" t="n"/>
      <c r="B88" s="10" t="n"/>
      <c r="C88" s="10" t="n"/>
      <c r="D88" s="9" t="n"/>
      <c r="E88" s="9" t="n"/>
      <c r="F88" s="12" t="n"/>
      <c r="G88" s="9" t="n"/>
      <c r="H88" s="10" t="n"/>
      <c r="I88" s="10" t="n"/>
    </row>
    <row r="89">
      <c r="A89" s="9" t="n"/>
      <c r="B89" s="10" t="n"/>
      <c r="C89" s="10" t="n"/>
      <c r="D89" s="9" t="n"/>
      <c r="E89" s="9" t="n"/>
      <c r="F89" s="12" t="n"/>
      <c r="G89" s="9" t="n"/>
      <c r="H89" s="10" t="n"/>
      <c r="I89" s="10" t="n"/>
    </row>
    <row r="90">
      <c r="A90" s="9" t="n"/>
      <c r="B90" s="10" t="n"/>
      <c r="C90" s="10" t="n"/>
      <c r="D90" s="9" t="n"/>
      <c r="E90" s="9" t="n"/>
      <c r="F90" s="12" t="n"/>
      <c r="G90" s="9" t="n"/>
      <c r="H90" s="10" t="n"/>
      <c r="I90" s="10" t="n"/>
    </row>
    <row r="91">
      <c r="A91" s="9" t="n"/>
      <c r="B91" s="10" t="n"/>
      <c r="C91" s="10" t="n"/>
      <c r="D91" s="9" t="n"/>
      <c r="E91" s="9" t="n"/>
      <c r="F91" s="12" t="n"/>
      <c r="G91" s="9" t="n"/>
      <c r="H91" s="10" t="n"/>
      <c r="I91" s="10" t="n"/>
    </row>
    <row r="92">
      <c r="A92" s="9" t="n"/>
      <c r="B92" s="10" t="n"/>
      <c r="C92" s="10" t="n"/>
      <c r="D92" s="9" t="n"/>
      <c r="E92" s="9" t="n"/>
      <c r="F92" s="12" t="n"/>
      <c r="G92" s="9" t="n"/>
      <c r="H92" s="10" t="n"/>
      <c r="I92" s="10" t="n"/>
    </row>
    <row r="93">
      <c r="A93" s="9" t="n"/>
      <c r="B93" s="10" t="n"/>
      <c r="C93" s="10" t="n"/>
      <c r="D93" s="9" t="n"/>
      <c r="E93" s="9" t="n"/>
      <c r="F93" s="12" t="n"/>
      <c r="G93" s="9" t="n"/>
      <c r="H93" s="10" t="n"/>
      <c r="I93" s="10" t="n"/>
    </row>
    <row r="94">
      <c r="A94" s="9" t="n"/>
      <c r="B94" s="10" t="n"/>
      <c r="C94" s="10" t="n"/>
      <c r="D94" s="9" t="n"/>
      <c r="E94" s="9" t="n"/>
      <c r="F94" s="12" t="n"/>
      <c r="G94" s="9" t="n"/>
      <c r="H94" s="10" t="n"/>
      <c r="I94" s="10" t="n"/>
    </row>
    <row r="95">
      <c r="A95" s="9" t="n"/>
      <c r="B95" s="10" t="n"/>
      <c r="C95" s="10" t="n"/>
      <c r="D95" s="9" t="n"/>
      <c r="E95" s="9" t="n"/>
      <c r="F95" s="12" t="n"/>
      <c r="G95" s="9" t="n"/>
      <c r="H95" s="10" t="n"/>
      <c r="I95" s="10" t="n"/>
    </row>
    <row r="96">
      <c r="A96" s="9" t="n"/>
      <c r="B96" s="10" t="n"/>
      <c r="C96" s="10" t="n"/>
      <c r="D96" s="9" t="n"/>
      <c r="E96" s="9" t="n"/>
      <c r="F96" s="12" t="n"/>
      <c r="G96" s="9" t="n"/>
      <c r="H96" s="10" t="n"/>
      <c r="I96" s="10" t="n"/>
    </row>
    <row r="97">
      <c r="A97" s="9" t="n"/>
      <c r="B97" s="10" t="n"/>
      <c r="C97" s="10" t="n"/>
      <c r="D97" s="9" t="n"/>
      <c r="E97" s="9" t="n"/>
      <c r="F97" s="12" t="n"/>
      <c r="G97" s="9" t="n"/>
      <c r="H97" s="10" t="n"/>
      <c r="I97" s="10" t="n"/>
    </row>
    <row r="98">
      <c r="A98" s="9" t="n"/>
      <c r="B98" s="10" t="n"/>
      <c r="C98" s="10" t="n"/>
      <c r="D98" s="9" t="n"/>
      <c r="E98" s="9" t="n"/>
      <c r="F98" s="12" t="n"/>
      <c r="G98" s="9" t="n"/>
      <c r="H98" s="10" t="n"/>
      <c r="I98" s="10" t="n"/>
    </row>
    <row r="99">
      <c r="A99" s="9" t="n"/>
      <c r="B99" s="10" t="n"/>
      <c r="C99" s="10" t="n"/>
      <c r="D99" s="9" t="n"/>
      <c r="E99" s="9" t="n"/>
      <c r="F99" s="12" t="n"/>
      <c r="G99" s="9" t="n"/>
      <c r="H99" s="10" t="n"/>
      <c r="I99" s="10" t="n"/>
    </row>
    <row r="100">
      <c r="A100" s="9" t="n"/>
      <c r="B100" s="10" t="n"/>
      <c r="C100" s="10" t="n"/>
      <c r="D100" s="9" t="n"/>
      <c r="E100" s="9" t="n"/>
      <c r="F100" s="12" t="n"/>
      <c r="G100" s="9" t="n"/>
      <c r="H100" s="10" t="n"/>
      <c r="I100" s="10" t="n"/>
    </row>
    <row r="101">
      <c r="A101" s="9" t="n"/>
      <c r="B101" s="10" t="n"/>
      <c r="C101" s="10" t="n"/>
      <c r="D101" s="9" t="n"/>
      <c r="E101" s="9" t="n"/>
      <c r="F101" s="12" t="n"/>
      <c r="G101" s="9" t="n"/>
      <c r="H101" s="10" t="n"/>
      <c r="I101" s="10" t="n"/>
    </row>
    <row r="102">
      <c r="A102" s="9" t="n"/>
      <c r="B102" s="10" t="n"/>
      <c r="C102" s="10" t="n"/>
      <c r="D102" s="9" t="n"/>
      <c r="E102" s="9" t="n"/>
      <c r="F102" s="12" t="n"/>
      <c r="G102" s="9" t="n"/>
      <c r="H102" s="10" t="n"/>
      <c r="I102" s="10" t="n"/>
    </row>
    <row r="103">
      <c r="A103" s="9" t="n"/>
      <c r="B103" s="10" t="n"/>
      <c r="C103" s="10" t="n"/>
      <c r="D103" s="9" t="n"/>
      <c r="E103" s="9" t="n"/>
      <c r="F103" s="12" t="n"/>
      <c r="G103" s="9" t="n"/>
      <c r="H103" s="10" t="n"/>
      <c r="I103" s="10" t="n"/>
    </row>
    <row r="104">
      <c r="A104" s="9" t="n"/>
      <c r="B104" s="10" t="n"/>
      <c r="C104" s="10" t="n"/>
      <c r="D104" s="9" t="n"/>
      <c r="E104" s="9" t="n"/>
      <c r="F104" s="12" t="n"/>
      <c r="G104" s="9" t="n"/>
      <c r="H104" s="10" t="n"/>
      <c r="I104" s="10" t="n"/>
    </row>
    <row r="105">
      <c r="A105" s="9" t="n"/>
      <c r="B105" s="10" t="n"/>
      <c r="C105" s="10" t="n"/>
      <c r="D105" s="9" t="n"/>
      <c r="E105" s="9" t="n"/>
      <c r="F105" s="12" t="n"/>
      <c r="G105" s="9" t="n"/>
      <c r="H105" s="10" t="n"/>
      <c r="I105" s="10" t="n"/>
    </row>
    <row r="106">
      <c r="A106" s="9" t="n"/>
      <c r="B106" s="10" t="n"/>
      <c r="C106" s="10" t="n"/>
      <c r="D106" s="9" t="n"/>
      <c r="E106" s="9" t="n"/>
      <c r="F106" s="12" t="n"/>
      <c r="G106" s="9" t="n"/>
      <c r="H106" s="10" t="n"/>
      <c r="I106" s="10" t="n"/>
    </row>
    <row r="107">
      <c r="A107" s="9" t="n"/>
      <c r="B107" s="10" t="n"/>
      <c r="C107" s="10" t="n"/>
      <c r="D107" s="9" t="n"/>
      <c r="E107" s="9" t="n"/>
      <c r="F107" s="12" t="n"/>
      <c r="G107" s="9" t="n"/>
      <c r="H107" s="10" t="n"/>
      <c r="I107" s="10" t="n"/>
    </row>
    <row r="108">
      <c r="A108" s="9" t="n"/>
      <c r="B108" s="10" t="n"/>
      <c r="C108" s="10" t="n"/>
      <c r="D108" s="9" t="n"/>
      <c r="E108" s="9" t="n"/>
      <c r="F108" s="12" t="n"/>
      <c r="G108" s="9" t="n"/>
      <c r="H108" s="10" t="n"/>
      <c r="I108" s="10" t="n"/>
    </row>
    <row r="109">
      <c r="A109" s="9" t="n"/>
      <c r="B109" s="10" t="n"/>
      <c r="C109" s="10" t="n"/>
      <c r="D109" s="9" t="n"/>
      <c r="E109" s="9" t="n"/>
      <c r="F109" s="12" t="n"/>
      <c r="G109" s="9" t="n"/>
      <c r="H109" s="10" t="n"/>
      <c r="I109" s="10" t="n"/>
    </row>
    <row r="110">
      <c r="A110" s="9" t="n"/>
      <c r="B110" s="10" t="n"/>
      <c r="C110" s="10" t="n"/>
      <c r="D110" s="9" t="n"/>
      <c r="E110" s="9" t="n"/>
      <c r="F110" s="12" t="n"/>
      <c r="G110" s="9" t="n"/>
      <c r="H110" s="10" t="n"/>
      <c r="I110" s="10" t="n"/>
    </row>
    <row r="111">
      <c r="A111" s="9" t="n"/>
      <c r="B111" s="10" t="n"/>
      <c r="C111" s="10" t="n"/>
      <c r="D111" s="9" t="n"/>
      <c r="E111" s="9" t="n"/>
      <c r="F111" s="12" t="n"/>
      <c r="G111" s="9" t="n"/>
      <c r="H111" s="10" t="n"/>
      <c r="I111" s="10" t="n"/>
    </row>
    <row r="112">
      <c r="A112" s="9" t="n"/>
      <c r="B112" s="10" t="n"/>
      <c r="C112" s="10" t="n"/>
      <c r="D112" s="9" t="n"/>
      <c r="E112" s="9" t="n"/>
      <c r="F112" s="12" t="n"/>
      <c r="G112" s="9" t="n"/>
      <c r="H112" s="10" t="n"/>
      <c r="I112" s="10" t="n"/>
    </row>
    <row r="113">
      <c r="A113" s="9" t="n"/>
      <c r="B113" s="10" t="n"/>
      <c r="C113" s="10" t="n"/>
      <c r="D113" s="9" t="n"/>
      <c r="E113" s="9" t="n"/>
      <c r="F113" s="12" t="n"/>
      <c r="G113" s="9" t="n"/>
      <c r="H113" s="10" t="n"/>
      <c r="I113" s="10" t="n"/>
    </row>
    <row r="114">
      <c r="A114" s="9" t="n"/>
      <c r="B114" s="10" t="n"/>
      <c r="C114" s="10" t="n"/>
      <c r="D114" s="9" t="n"/>
      <c r="E114" s="9" t="n"/>
      <c r="F114" s="12" t="n"/>
      <c r="G114" s="9" t="n"/>
      <c r="H114" s="10" t="n"/>
      <c r="I114" s="10" t="n"/>
    </row>
    <row r="115">
      <c r="A115" s="9" t="n"/>
      <c r="B115" s="10" t="n"/>
      <c r="C115" s="10" t="n"/>
      <c r="D115" s="9" t="n"/>
      <c r="E115" s="9" t="n"/>
      <c r="F115" s="12" t="n"/>
      <c r="G115" s="9" t="n"/>
      <c r="H115" s="10" t="n"/>
      <c r="I115" s="10" t="n"/>
    </row>
    <row r="116">
      <c r="A116" s="9" t="n"/>
      <c r="B116" s="10" t="n"/>
      <c r="C116" s="10" t="n"/>
      <c r="D116" s="9" t="n"/>
      <c r="E116" s="9" t="n"/>
      <c r="F116" s="12" t="n"/>
      <c r="G116" s="9" t="n"/>
      <c r="H116" s="10" t="n"/>
      <c r="I116" s="10" t="n"/>
    </row>
    <row r="117">
      <c r="A117" s="9" t="n"/>
      <c r="B117" s="10" t="n"/>
      <c r="C117" s="10" t="n"/>
      <c r="D117" s="9" t="n"/>
      <c r="E117" s="9" t="n"/>
      <c r="F117" s="12" t="n"/>
      <c r="G117" s="9" t="n"/>
      <c r="H117" s="10" t="n"/>
      <c r="I117" s="10" t="n"/>
    </row>
    <row r="118">
      <c r="A118" s="9" t="n"/>
      <c r="B118" s="10" t="n"/>
      <c r="C118" s="10" t="n"/>
      <c r="D118" s="9" t="n"/>
      <c r="E118" s="9" t="n"/>
      <c r="F118" s="12" t="n"/>
      <c r="G118" s="9" t="n"/>
      <c r="H118" s="10" t="n"/>
      <c r="I118" s="10" t="n"/>
    </row>
    <row r="119">
      <c r="A119" s="9" t="n"/>
      <c r="B119" s="10" t="n"/>
      <c r="C119" s="10" t="n"/>
      <c r="D119" s="9" t="n"/>
      <c r="E119" s="9" t="n"/>
      <c r="F119" s="12" t="n"/>
      <c r="G119" s="9" t="n"/>
      <c r="H119" s="10" t="n"/>
      <c r="I119" s="10" t="n"/>
    </row>
    <row r="120">
      <c r="A120" s="9" t="n"/>
      <c r="B120" s="10" t="n"/>
      <c r="C120" s="10" t="n"/>
      <c r="D120" s="9" t="n"/>
      <c r="E120" s="9" t="n"/>
      <c r="F120" s="12" t="n"/>
      <c r="G120" s="9" t="n"/>
      <c r="H120" s="10" t="n"/>
      <c r="I120" s="10" t="n"/>
    </row>
    <row r="121">
      <c r="A121" s="9" t="n"/>
      <c r="B121" s="10" t="n"/>
      <c r="C121" s="10" t="n"/>
      <c r="D121" s="9" t="n"/>
      <c r="E121" s="9" t="n"/>
      <c r="F121" s="12" t="n"/>
      <c r="G121" s="9" t="n"/>
      <c r="H121" s="10" t="n"/>
      <c r="I121" s="10" t="n"/>
    </row>
    <row r="122">
      <c r="A122" s="9" t="n"/>
      <c r="B122" s="10" t="n"/>
      <c r="C122" s="10" t="n"/>
      <c r="D122" s="9" t="n"/>
      <c r="E122" s="9" t="n"/>
      <c r="F122" s="12" t="n"/>
      <c r="G122" s="9" t="n"/>
      <c r="H122" s="10" t="n"/>
      <c r="I122" s="10" t="n"/>
    </row>
    <row r="123">
      <c r="A123" s="9" t="n"/>
      <c r="B123" s="10" t="n"/>
      <c r="C123" s="10" t="n"/>
      <c r="D123" s="9" t="n"/>
      <c r="E123" s="9" t="n"/>
      <c r="F123" s="12" t="n"/>
      <c r="G123" s="9" t="n"/>
      <c r="H123" s="10" t="n"/>
      <c r="I123" s="10" t="n"/>
    </row>
    <row r="124">
      <c r="A124" s="9" t="n"/>
      <c r="B124" s="10" t="n"/>
      <c r="C124" s="10" t="n"/>
      <c r="D124" s="9" t="n"/>
      <c r="E124" s="9" t="n"/>
      <c r="F124" s="12" t="n"/>
      <c r="G124" s="9" t="n"/>
      <c r="H124" s="10" t="n"/>
      <c r="I124" s="10" t="n"/>
    </row>
    <row r="125">
      <c r="A125" s="9" t="n"/>
      <c r="B125" s="10" t="n"/>
      <c r="C125" s="10" t="n"/>
      <c r="D125" s="9" t="n"/>
      <c r="E125" s="9" t="n"/>
      <c r="F125" s="12" t="n"/>
      <c r="G125" s="9" t="n"/>
      <c r="H125" s="10" t="n"/>
      <c r="I125" s="10" t="n"/>
    </row>
    <row r="126">
      <c r="A126" s="9" t="n"/>
      <c r="B126" s="10" t="n"/>
      <c r="C126" s="10" t="n"/>
      <c r="D126" s="9" t="n"/>
      <c r="E126" s="9" t="n"/>
      <c r="F126" s="12" t="n"/>
      <c r="G126" s="9" t="n"/>
      <c r="H126" s="10" t="n"/>
      <c r="I126" s="10" t="n"/>
    </row>
    <row r="127">
      <c r="A127" s="9" t="n"/>
      <c r="B127" s="10" t="n"/>
      <c r="C127" s="10" t="n"/>
      <c r="D127" s="9" t="n"/>
      <c r="E127" s="9" t="n"/>
      <c r="F127" s="12" t="n"/>
      <c r="G127" s="9" t="n"/>
      <c r="H127" s="10" t="n"/>
      <c r="I127" s="10" t="n"/>
    </row>
    <row r="128">
      <c r="A128" s="9" t="n"/>
      <c r="B128" s="10" t="n"/>
      <c r="C128" s="10" t="n"/>
      <c r="D128" s="9" t="n"/>
      <c r="E128" s="9" t="n"/>
      <c r="F128" s="12" t="n"/>
      <c r="G128" s="9" t="n"/>
      <c r="H128" s="10" t="n"/>
      <c r="I128" s="10" t="n"/>
    </row>
    <row r="129">
      <c r="A129" s="9" t="n"/>
      <c r="B129" s="10" t="n"/>
      <c r="C129" s="10" t="n"/>
      <c r="D129" s="9" t="n"/>
      <c r="E129" s="9" t="n"/>
      <c r="F129" s="12" t="n"/>
      <c r="G129" s="9" t="n"/>
      <c r="H129" s="10" t="n"/>
      <c r="I129" s="10" t="n"/>
    </row>
    <row r="130">
      <c r="A130" s="9" t="n"/>
      <c r="B130" s="10" t="n"/>
      <c r="C130" s="10" t="n"/>
      <c r="D130" s="9" t="n"/>
      <c r="E130" s="9" t="n"/>
      <c r="F130" s="12" t="n"/>
      <c r="G130" s="9" t="n"/>
      <c r="H130" s="10" t="n"/>
      <c r="I130" s="10" t="n"/>
    </row>
    <row r="131">
      <c r="A131" s="9" t="n"/>
      <c r="B131" s="10" t="n"/>
      <c r="C131" s="10" t="n"/>
      <c r="D131" s="9" t="n"/>
      <c r="E131" s="9" t="n"/>
      <c r="F131" s="12" t="n"/>
      <c r="G131" s="9" t="n"/>
      <c r="H131" s="10" t="n"/>
      <c r="I131" s="10" t="n"/>
    </row>
    <row r="132">
      <c r="A132" s="9" t="n"/>
      <c r="B132" s="10" t="n"/>
      <c r="C132" s="10" t="n"/>
      <c r="D132" s="9" t="n"/>
      <c r="E132" s="9" t="n"/>
      <c r="F132" s="12" t="n"/>
      <c r="G132" s="9" t="n"/>
      <c r="H132" s="10" t="n"/>
      <c r="I132" s="10" t="n"/>
    </row>
    <row r="133">
      <c r="A133" s="9" t="n"/>
      <c r="B133" s="10" t="n"/>
      <c r="C133" s="10" t="n"/>
      <c r="D133" s="9" t="n"/>
      <c r="E133" s="9" t="n"/>
      <c r="F133" s="12" t="n"/>
      <c r="G133" s="9" t="n"/>
      <c r="H133" s="10" t="n"/>
      <c r="I133" s="10" t="n"/>
    </row>
    <row r="134">
      <c r="A134" s="9" t="n"/>
      <c r="B134" s="10" t="n"/>
      <c r="C134" s="10" t="n"/>
      <c r="D134" s="9" t="n"/>
      <c r="E134" s="9" t="n"/>
      <c r="F134" s="12" t="n"/>
      <c r="G134" s="9" t="n"/>
      <c r="H134" s="10" t="n"/>
      <c r="I134" s="10" t="n"/>
    </row>
    <row r="135">
      <c r="A135" s="9" t="n"/>
      <c r="B135" s="10" t="n"/>
      <c r="C135" s="10" t="n"/>
      <c r="D135" s="9" t="n"/>
      <c r="E135" s="9" t="n"/>
      <c r="F135" s="12" t="n"/>
      <c r="G135" s="9" t="n"/>
      <c r="H135" s="10" t="n"/>
      <c r="I135" s="10" t="n"/>
    </row>
    <row r="136">
      <c r="A136" s="9" t="n"/>
      <c r="B136" s="10" t="n"/>
      <c r="C136" s="10" t="n"/>
      <c r="D136" s="9" t="n"/>
      <c r="E136" s="9" t="n"/>
      <c r="F136" s="12" t="n"/>
      <c r="G136" s="9" t="n"/>
      <c r="H136" s="10" t="n"/>
      <c r="I136" s="10" t="n"/>
    </row>
    <row r="137">
      <c r="A137" s="9" t="n"/>
      <c r="B137" s="10" t="n"/>
      <c r="C137" s="10" t="n"/>
      <c r="D137" s="9" t="n"/>
      <c r="E137" s="9" t="n"/>
      <c r="F137" s="12" t="n"/>
      <c r="G137" s="9" t="n"/>
      <c r="H137" s="10" t="n"/>
      <c r="I137" s="10" t="n"/>
    </row>
    <row r="138">
      <c r="A138" s="9" t="n"/>
      <c r="B138" s="10" t="n"/>
      <c r="C138" s="10" t="n"/>
      <c r="D138" s="9" t="n"/>
      <c r="E138" s="9" t="n"/>
      <c r="F138" s="12" t="n"/>
      <c r="G138" s="9" t="n"/>
      <c r="H138" s="10" t="n"/>
      <c r="I138" s="10" t="n"/>
    </row>
    <row r="139">
      <c r="A139" s="9" t="n"/>
      <c r="B139" s="10" t="n"/>
      <c r="C139" s="10" t="n"/>
      <c r="D139" s="9" t="n"/>
      <c r="E139" s="9" t="n"/>
      <c r="F139" s="12" t="n"/>
      <c r="G139" s="9" t="n"/>
      <c r="H139" s="10" t="n"/>
      <c r="I139" s="10" t="n"/>
    </row>
    <row r="140">
      <c r="A140" s="9" t="n"/>
      <c r="B140" s="10" t="n"/>
      <c r="C140" s="10" t="n"/>
      <c r="D140" s="9" t="n"/>
      <c r="E140" s="9" t="n"/>
      <c r="F140" s="12" t="n"/>
      <c r="G140" s="9" t="n"/>
      <c r="H140" s="10" t="n"/>
      <c r="I140" s="10" t="n"/>
    </row>
    <row r="141">
      <c r="A141" s="9" t="n"/>
      <c r="B141" s="10" t="n"/>
      <c r="C141" s="10" t="n"/>
      <c r="D141" s="9" t="n"/>
      <c r="E141" s="9" t="n"/>
      <c r="F141" s="12" t="n"/>
      <c r="G141" s="9" t="n"/>
      <c r="H141" s="10" t="n"/>
      <c r="I141" s="10" t="n"/>
    </row>
    <row r="142">
      <c r="A142" s="9" t="n"/>
      <c r="B142" s="10" t="n"/>
      <c r="C142" s="10" t="n"/>
      <c r="D142" s="9" t="n"/>
      <c r="E142" s="9" t="n"/>
      <c r="F142" s="12" t="n"/>
      <c r="G142" s="9" t="n"/>
      <c r="H142" s="10" t="n"/>
      <c r="I142" s="10" t="n"/>
    </row>
    <row r="143">
      <c r="A143" s="9" t="n"/>
      <c r="B143" s="10" t="n"/>
      <c r="C143" s="10" t="n"/>
      <c r="D143" s="9" t="n"/>
      <c r="E143" s="9" t="n"/>
      <c r="F143" s="12" t="n"/>
      <c r="G143" s="9" t="n"/>
      <c r="H143" s="10" t="n"/>
      <c r="I143" s="10" t="n"/>
    </row>
    <row r="144">
      <c r="A144" s="9" t="n"/>
      <c r="B144" s="10" t="n"/>
      <c r="C144" s="10" t="n"/>
      <c r="D144" s="9" t="n"/>
      <c r="E144" s="9" t="n"/>
      <c r="F144" s="12" t="n"/>
      <c r="G144" s="9" t="n"/>
      <c r="H144" s="10" t="n"/>
      <c r="I144" s="10" t="n"/>
    </row>
    <row r="145">
      <c r="A145" s="9" t="n"/>
      <c r="B145" s="10" t="n"/>
      <c r="C145" s="10" t="n"/>
      <c r="D145" s="9" t="n"/>
      <c r="E145" s="9" t="n"/>
      <c r="F145" s="12" t="n"/>
      <c r="G145" s="9" t="n"/>
      <c r="H145" s="10" t="n"/>
      <c r="I145" s="10" t="n"/>
    </row>
    <row r="146">
      <c r="A146" s="9" t="n"/>
      <c r="B146" s="10" t="n"/>
      <c r="C146" s="10" t="n"/>
      <c r="D146" s="9" t="n"/>
      <c r="E146" s="9" t="n"/>
      <c r="F146" s="12" t="n"/>
      <c r="G146" s="9" t="n"/>
      <c r="H146" s="10" t="n"/>
      <c r="I146" s="10" t="n"/>
    </row>
    <row r="147">
      <c r="A147" s="9" t="n"/>
      <c r="B147" s="10" t="n"/>
      <c r="C147" s="10" t="n"/>
      <c r="D147" s="9" t="n"/>
      <c r="E147" s="9" t="n"/>
      <c r="F147" s="12" t="n"/>
      <c r="G147" s="9" t="n"/>
      <c r="H147" s="10" t="n"/>
      <c r="I147" s="10" t="n"/>
    </row>
    <row r="148">
      <c r="A148" s="9" t="n"/>
      <c r="B148" s="10" t="n"/>
      <c r="C148" s="10" t="n"/>
      <c r="D148" s="9" t="n"/>
      <c r="E148" s="9" t="n"/>
      <c r="F148" s="12" t="n"/>
      <c r="G148" s="9" t="n"/>
      <c r="H148" s="10" t="n"/>
      <c r="I148" s="10" t="n"/>
    </row>
    <row r="149">
      <c r="A149" s="9" t="n"/>
      <c r="B149" s="10" t="n"/>
      <c r="C149" s="10" t="n"/>
      <c r="D149" s="9" t="n"/>
      <c r="E149" s="9" t="n"/>
      <c r="F149" s="12" t="n"/>
      <c r="G149" s="9" t="n"/>
      <c r="H149" s="10" t="n"/>
      <c r="I149" s="10" t="n"/>
    </row>
    <row r="150">
      <c r="A150" s="9" t="n"/>
      <c r="B150" s="10" t="n"/>
      <c r="C150" s="10" t="n"/>
      <c r="D150" s="9" t="n"/>
      <c r="E150" s="9" t="n"/>
      <c r="F150" s="12" t="n"/>
      <c r="G150" s="9" t="n"/>
      <c r="H150" s="10" t="n"/>
      <c r="I150" s="10" t="n"/>
    </row>
    <row r="151">
      <c r="A151" s="9" t="n"/>
      <c r="B151" s="10" t="n"/>
      <c r="C151" s="10" t="n"/>
      <c r="D151" s="9" t="n"/>
      <c r="E151" s="9" t="n"/>
      <c r="F151" s="12" t="n"/>
      <c r="G151" s="9" t="n"/>
      <c r="H151" s="10" t="n"/>
      <c r="I151" s="10" t="n"/>
    </row>
    <row r="152">
      <c r="A152" s="9" t="n"/>
      <c r="B152" s="10" t="n"/>
      <c r="C152" s="10" t="n"/>
      <c r="D152" s="9" t="n"/>
      <c r="E152" s="9" t="n"/>
      <c r="F152" s="12" t="n"/>
      <c r="G152" s="9" t="n"/>
      <c r="H152" s="10" t="n"/>
      <c r="I152" s="10" t="n"/>
    </row>
    <row r="153">
      <c r="A153" s="9" t="n"/>
      <c r="B153" s="10" t="n"/>
      <c r="C153" s="10" t="n"/>
      <c r="D153" s="9" t="n"/>
      <c r="E153" s="9" t="n"/>
      <c r="F153" s="12" t="n"/>
      <c r="G153" s="9" t="n"/>
      <c r="H153" s="10" t="n"/>
      <c r="I153" s="10" t="n"/>
    </row>
    <row r="154">
      <c r="A154" s="9" t="n"/>
      <c r="B154" s="10" t="n"/>
      <c r="C154" s="10" t="n"/>
      <c r="D154" s="9" t="n"/>
      <c r="E154" s="9" t="n"/>
      <c r="F154" s="12" t="n"/>
      <c r="G154" s="9" t="n"/>
      <c r="H154" s="10" t="n"/>
      <c r="I154" s="10" t="n"/>
    </row>
    <row r="155">
      <c r="A155" s="9" t="n"/>
      <c r="B155" s="10" t="n"/>
      <c r="C155" s="10" t="n"/>
      <c r="D155" s="9" t="n"/>
      <c r="E155" s="9" t="n"/>
      <c r="F155" s="12" t="n"/>
      <c r="G155" s="9" t="n"/>
      <c r="H155" s="10" t="n"/>
      <c r="I155" s="10" t="n"/>
    </row>
    <row r="156">
      <c r="A156" s="9" t="n"/>
      <c r="B156" s="10" t="n"/>
      <c r="C156" s="10" t="n"/>
      <c r="D156" s="9" t="n"/>
      <c r="E156" s="9" t="n"/>
      <c r="F156" s="12" t="n"/>
      <c r="G156" s="9" t="n"/>
      <c r="H156" s="10" t="n"/>
      <c r="I156" s="10" t="n"/>
    </row>
    <row r="157">
      <c r="A157" s="9" t="n"/>
      <c r="B157" s="10" t="n"/>
      <c r="C157" s="10" t="n"/>
      <c r="D157" s="9" t="n"/>
      <c r="E157" s="9" t="n"/>
      <c r="F157" s="12" t="n"/>
      <c r="G157" s="9" t="n"/>
      <c r="H157" s="10" t="n"/>
      <c r="I157" s="10" t="n"/>
    </row>
    <row r="158">
      <c r="A158" s="9" t="n"/>
      <c r="B158" s="10" t="n"/>
      <c r="C158" s="10" t="n"/>
      <c r="D158" s="9" t="n"/>
      <c r="E158" s="9" t="n"/>
      <c r="F158" s="12" t="n"/>
      <c r="G158" s="9" t="n"/>
      <c r="H158" s="10" t="n"/>
      <c r="I158" s="10" t="n"/>
    </row>
    <row r="159">
      <c r="A159" s="9" t="n"/>
      <c r="B159" s="10" t="n"/>
      <c r="C159" s="10" t="n"/>
      <c r="D159" s="9" t="n"/>
      <c r="E159" s="9" t="n"/>
      <c r="F159" s="12" t="n"/>
      <c r="G159" s="9" t="n"/>
      <c r="H159" s="10" t="n"/>
      <c r="I159" s="10" t="n"/>
    </row>
    <row r="160">
      <c r="A160" s="9" t="n"/>
      <c r="B160" s="10" t="n"/>
      <c r="C160" s="10" t="n"/>
      <c r="D160" s="9" t="n"/>
      <c r="E160" s="9" t="n"/>
      <c r="F160" s="12" t="n"/>
      <c r="G160" s="9" t="n"/>
      <c r="H160" s="10" t="n"/>
      <c r="I160" s="10" t="n"/>
    </row>
    <row r="161">
      <c r="A161" s="9" t="n"/>
      <c r="B161" s="10" t="n"/>
      <c r="C161" s="10" t="n"/>
      <c r="D161" s="9" t="n"/>
      <c r="E161" s="9" t="n"/>
      <c r="F161" s="12" t="n"/>
      <c r="G161" s="9" t="n"/>
      <c r="H161" s="10" t="n"/>
      <c r="I161" s="10" t="n"/>
    </row>
    <row r="162">
      <c r="A162" s="9" t="n"/>
      <c r="B162" s="10" t="n"/>
      <c r="C162" s="10" t="n"/>
      <c r="D162" s="9" t="n"/>
      <c r="E162" s="9" t="n"/>
      <c r="F162" s="12" t="n"/>
      <c r="G162" s="9" t="n"/>
      <c r="H162" s="10" t="n"/>
      <c r="I162" s="10" t="n"/>
    </row>
    <row r="163">
      <c r="A163" s="9" t="n"/>
      <c r="B163" s="10" t="n"/>
      <c r="C163" s="10" t="n"/>
      <c r="D163" s="9" t="n"/>
      <c r="E163" s="9" t="n"/>
      <c r="F163" s="12" t="n"/>
      <c r="G163" s="9" t="n"/>
      <c r="H163" s="10" t="n"/>
      <c r="I163" s="10" t="n"/>
    </row>
    <row r="164">
      <c r="A164" s="9" t="n"/>
      <c r="B164" s="10" t="n"/>
      <c r="C164" s="10" t="n"/>
      <c r="D164" s="9" t="n"/>
      <c r="E164" s="9" t="n"/>
      <c r="F164" s="12" t="n"/>
      <c r="G164" s="9" t="n"/>
      <c r="H164" s="10" t="n"/>
      <c r="I164" s="10" t="n"/>
    </row>
    <row r="165">
      <c r="A165" s="9" t="n"/>
      <c r="B165" s="10" t="n"/>
      <c r="C165" s="10" t="n"/>
      <c r="D165" s="9" t="n"/>
      <c r="E165" s="9" t="n"/>
      <c r="F165" s="12" t="n"/>
      <c r="G165" s="9" t="n"/>
      <c r="H165" s="10" t="n"/>
      <c r="I165" s="10" t="n"/>
    </row>
    <row r="166">
      <c r="A166" s="9" t="n"/>
      <c r="B166" s="10" t="n"/>
      <c r="C166" s="10" t="n"/>
      <c r="D166" s="9" t="n"/>
      <c r="E166" s="9" t="n"/>
      <c r="F166" s="12" t="n"/>
      <c r="G166" s="9" t="n"/>
      <c r="H166" s="10" t="n"/>
      <c r="I166" s="10" t="n"/>
    </row>
    <row r="167">
      <c r="A167" s="9" t="n"/>
      <c r="B167" s="10" t="n"/>
      <c r="C167" s="10" t="n"/>
      <c r="D167" s="9" t="n"/>
      <c r="E167" s="9" t="n"/>
      <c r="F167" s="12" t="n"/>
      <c r="G167" s="9" t="n"/>
      <c r="H167" s="10" t="n"/>
      <c r="I167" s="10" t="n"/>
    </row>
    <row r="168">
      <c r="A168" s="9" t="n"/>
      <c r="B168" s="10" t="n"/>
      <c r="C168" s="10" t="n"/>
      <c r="D168" s="9" t="n"/>
      <c r="E168" s="9" t="n"/>
      <c r="F168" s="12" t="n"/>
      <c r="G168" s="9" t="n"/>
      <c r="H168" s="10" t="n"/>
      <c r="I168" s="10" t="n"/>
    </row>
    <row r="169">
      <c r="A169" s="9" t="n"/>
      <c r="B169" s="10" t="n"/>
      <c r="C169" s="10" t="n"/>
      <c r="D169" s="9" t="n"/>
      <c r="E169" s="9" t="n"/>
      <c r="F169" s="12" t="n"/>
      <c r="G169" s="9" t="n"/>
      <c r="H169" s="10" t="n"/>
      <c r="I169" s="10" t="n"/>
    </row>
    <row r="170">
      <c r="A170" s="9" t="n"/>
      <c r="B170" s="10" t="n"/>
      <c r="C170" s="10" t="n"/>
      <c r="D170" s="9" t="n"/>
      <c r="E170" s="9" t="n"/>
      <c r="F170" s="12" t="n"/>
      <c r="G170" s="9" t="n"/>
      <c r="H170" s="10" t="n"/>
      <c r="I170" s="10" t="n"/>
    </row>
    <row r="171">
      <c r="A171" s="9" t="n"/>
      <c r="B171" s="10" t="n"/>
      <c r="C171" s="10" t="n"/>
      <c r="D171" s="9" t="n"/>
      <c r="E171" s="9" t="n"/>
      <c r="F171" s="12" t="n"/>
      <c r="G171" s="9" t="n"/>
      <c r="H171" s="10" t="n"/>
      <c r="I171" s="10" t="n"/>
    </row>
    <row r="172">
      <c r="A172" s="9" t="n"/>
      <c r="B172" s="10" t="n"/>
      <c r="C172" s="10" t="n"/>
      <c r="D172" s="9" t="n"/>
      <c r="E172" s="9" t="n"/>
      <c r="F172" s="12" t="n"/>
      <c r="G172" s="9" t="n"/>
      <c r="H172" s="10" t="n"/>
      <c r="I172" s="10" t="n"/>
    </row>
    <row r="173">
      <c r="A173" s="9" t="n"/>
      <c r="B173" s="10" t="n"/>
      <c r="C173" s="10" t="n"/>
      <c r="D173" s="9" t="n"/>
      <c r="E173" s="9" t="n"/>
      <c r="F173" s="12" t="n"/>
      <c r="G173" s="9" t="n"/>
      <c r="H173" s="10" t="n"/>
      <c r="I173" s="10" t="n"/>
    </row>
    <row r="174">
      <c r="A174" s="9" t="n"/>
      <c r="B174" s="10" t="n"/>
      <c r="C174" s="10" t="n"/>
      <c r="D174" s="9" t="n"/>
      <c r="E174" s="9" t="n"/>
      <c r="F174" s="12" t="n"/>
      <c r="G174" s="9" t="n"/>
      <c r="H174" s="10" t="n"/>
      <c r="I174" s="10" t="n"/>
    </row>
    <row r="175">
      <c r="A175" s="9" t="n"/>
      <c r="B175" s="10" t="n"/>
      <c r="C175" s="10" t="n"/>
      <c r="D175" s="9" t="n"/>
      <c r="E175" s="9" t="n"/>
      <c r="F175" s="12" t="n"/>
      <c r="G175" s="9" t="n"/>
      <c r="H175" s="10" t="n"/>
      <c r="I175" s="10" t="n"/>
    </row>
    <row r="176">
      <c r="A176" s="9" t="n"/>
      <c r="B176" s="10" t="n"/>
      <c r="C176" s="10" t="n"/>
      <c r="D176" s="9" t="n"/>
      <c r="E176" s="9" t="n"/>
      <c r="F176" s="12" t="n"/>
      <c r="G176" s="9" t="n"/>
      <c r="H176" s="10" t="n"/>
      <c r="I176" s="10" t="n"/>
    </row>
    <row r="177">
      <c r="A177" s="9" t="n"/>
      <c r="B177" s="10" t="n"/>
      <c r="C177" s="10" t="n"/>
      <c r="D177" s="9" t="n"/>
      <c r="E177" s="9" t="n"/>
      <c r="F177" s="12" t="n"/>
      <c r="G177" s="9" t="n"/>
      <c r="H177" s="10" t="n"/>
      <c r="I177" s="10" t="n"/>
    </row>
    <row r="178">
      <c r="A178" s="9" t="n"/>
      <c r="B178" s="10" t="n"/>
      <c r="C178" s="10" t="n"/>
      <c r="D178" s="9" t="n"/>
      <c r="E178" s="9" t="n"/>
      <c r="F178" s="12" t="n"/>
      <c r="G178" s="9" t="n"/>
      <c r="H178" s="10" t="n"/>
      <c r="I178" s="10" t="n"/>
    </row>
    <row r="179">
      <c r="A179" s="9" t="n"/>
      <c r="B179" s="10" t="n"/>
      <c r="C179" s="10" t="n"/>
      <c r="D179" s="9" t="n"/>
      <c r="E179" s="9" t="n"/>
      <c r="F179" s="12" t="n"/>
      <c r="G179" s="9" t="n"/>
      <c r="H179" s="10" t="n"/>
      <c r="I179" s="10" t="n"/>
    </row>
    <row r="180">
      <c r="A180" s="9" t="n"/>
      <c r="B180" s="10" t="n"/>
      <c r="C180" s="10" t="n"/>
      <c r="D180" s="9" t="n"/>
      <c r="E180" s="9" t="n"/>
      <c r="F180" s="12" t="n"/>
      <c r="G180" s="9" t="n"/>
      <c r="H180" s="10" t="n"/>
      <c r="I180" s="10" t="n"/>
    </row>
    <row r="181">
      <c r="A181" s="9" t="n"/>
      <c r="B181" s="10" t="n"/>
      <c r="C181" s="10" t="n"/>
      <c r="D181" s="9" t="n"/>
      <c r="E181" s="9" t="n"/>
      <c r="F181" s="12" t="n"/>
      <c r="G181" s="9" t="n"/>
      <c r="H181" s="10" t="n"/>
      <c r="I181" s="10" t="n"/>
    </row>
    <row r="182">
      <c r="A182" s="9" t="n"/>
      <c r="B182" s="10" t="n"/>
      <c r="C182" s="10" t="n"/>
      <c r="D182" s="9" t="n"/>
      <c r="E182" s="9" t="n"/>
      <c r="F182" s="12" t="n"/>
      <c r="G182" s="9" t="n"/>
      <c r="H182" s="10" t="n"/>
      <c r="I182" s="10" t="n"/>
    </row>
    <row r="183">
      <c r="A183" s="9" t="n"/>
      <c r="B183" s="10" t="n"/>
      <c r="C183" s="10" t="n"/>
      <c r="D183" s="9" t="n"/>
      <c r="E183" s="9" t="n"/>
      <c r="F183" s="12" t="n"/>
      <c r="G183" s="9" t="n"/>
      <c r="H183" s="10" t="n"/>
      <c r="I183" s="10" t="n"/>
    </row>
    <row r="184">
      <c r="A184" s="9" t="n"/>
      <c r="B184" s="10" t="n"/>
      <c r="C184" s="10" t="n"/>
      <c r="D184" s="9" t="n"/>
      <c r="E184" s="9" t="n"/>
      <c r="F184" s="12" t="n"/>
      <c r="G184" s="9" t="n"/>
      <c r="H184" s="10" t="n"/>
      <c r="I184" s="10" t="n"/>
    </row>
    <row r="185">
      <c r="A185" s="9" t="n"/>
      <c r="B185" s="10" t="n"/>
      <c r="C185" s="10" t="n"/>
      <c r="D185" s="9" t="n"/>
      <c r="E185" s="9" t="n"/>
      <c r="F185" s="12" t="n"/>
      <c r="G185" s="9" t="n"/>
      <c r="H185" s="10" t="n"/>
      <c r="I185" s="10" t="n"/>
    </row>
    <row r="186">
      <c r="A186" s="9" t="n"/>
      <c r="B186" s="10" t="n"/>
      <c r="C186" s="10" t="n"/>
      <c r="D186" s="9" t="n"/>
      <c r="E186" s="9" t="n"/>
      <c r="F186" s="12" t="n"/>
      <c r="G186" s="9" t="n"/>
      <c r="H186" s="10" t="n"/>
      <c r="I186" s="10" t="n"/>
    </row>
    <row r="187">
      <c r="A187" s="9" t="n"/>
      <c r="B187" s="10" t="n"/>
      <c r="C187" s="10" t="n"/>
      <c r="D187" s="9" t="n"/>
      <c r="E187" s="9" t="n"/>
      <c r="F187" s="12" t="n"/>
      <c r="G187" s="9" t="n"/>
      <c r="H187" s="10" t="n"/>
      <c r="I187" s="10" t="n"/>
    </row>
    <row r="188">
      <c r="A188" s="9" t="n"/>
      <c r="B188" s="10" t="n"/>
      <c r="C188" s="10" t="n"/>
      <c r="D188" s="9" t="n"/>
      <c r="E188" s="9" t="n"/>
      <c r="F188" s="12" t="n"/>
      <c r="G188" s="9" t="n"/>
      <c r="H188" s="10" t="n"/>
      <c r="I188" s="10" t="n"/>
    </row>
    <row r="189">
      <c r="A189" s="9" t="n"/>
      <c r="B189" s="10" t="n"/>
      <c r="C189" s="10" t="n"/>
      <c r="D189" s="9" t="n"/>
      <c r="E189" s="9" t="n"/>
      <c r="F189" s="12" t="n"/>
      <c r="G189" s="9" t="n"/>
      <c r="H189" s="10" t="n"/>
      <c r="I189" s="10" t="n"/>
    </row>
    <row r="190">
      <c r="A190" s="9" t="n"/>
      <c r="B190" s="10" t="n"/>
      <c r="C190" s="10" t="n"/>
      <c r="D190" s="9" t="n"/>
      <c r="E190" s="9" t="n"/>
      <c r="F190" s="12" t="n"/>
      <c r="G190" s="9" t="n"/>
      <c r="H190" s="10" t="n"/>
      <c r="I190" s="10" t="n"/>
    </row>
    <row r="191">
      <c r="A191" s="9" t="n"/>
      <c r="B191" s="10" t="n"/>
      <c r="C191" s="10" t="n"/>
      <c r="D191" s="9" t="n"/>
      <c r="E191" s="9" t="n"/>
      <c r="F191" s="12" t="n"/>
      <c r="G191" s="9" t="n"/>
      <c r="H191" s="10" t="n"/>
      <c r="I191" s="10" t="n"/>
    </row>
    <row r="192">
      <c r="A192" s="9" t="n"/>
      <c r="B192" s="10" t="n"/>
      <c r="C192" s="10" t="n"/>
      <c r="D192" s="9" t="n"/>
      <c r="E192" s="9" t="n"/>
      <c r="F192" s="12" t="n"/>
      <c r="G192" s="9" t="n"/>
      <c r="H192" s="10" t="n"/>
      <c r="I192" s="10" t="n"/>
    </row>
    <row r="193">
      <c r="A193" s="9" t="n"/>
      <c r="B193" s="10" t="n"/>
      <c r="C193" s="10" t="n"/>
      <c r="D193" s="9" t="n"/>
      <c r="E193" s="9" t="n"/>
      <c r="F193" s="12" t="n"/>
      <c r="G193" s="9" t="n"/>
      <c r="H193" s="10" t="n"/>
      <c r="I193" s="10" t="n"/>
    </row>
    <row r="194">
      <c r="A194" s="9" t="n"/>
      <c r="B194" s="10" t="n"/>
      <c r="C194" s="10" t="n"/>
      <c r="D194" s="9" t="n"/>
      <c r="E194" s="9" t="n"/>
      <c r="F194" s="12" t="n"/>
      <c r="G194" s="9" t="n"/>
      <c r="H194" s="10" t="n"/>
      <c r="I194" s="10" t="n"/>
    </row>
    <row r="195">
      <c r="A195" s="9" t="n"/>
      <c r="B195" s="10" t="n"/>
      <c r="C195" s="10" t="n"/>
      <c r="D195" s="9" t="n"/>
      <c r="E195" s="9" t="n"/>
      <c r="F195" s="12" t="n"/>
      <c r="G195" s="9" t="n"/>
      <c r="H195" s="10" t="n"/>
      <c r="I195" s="10" t="n"/>
    </row>
    <row r="196">
      <c r="A196" s="9" t="n"/>
      <c r="B196" s="10" t="n"/>
      <c r="C196" s="10" t="n"/>
      <c r="D196" s="9" t="n"/>
      <c r="E196" s="9" t="n"/>
      <c r="F196" s="12" t="n"/>
      <c r="G196" s="9" t="n"/>
      <c r="H196" s="10" t="n"/>
      <c r="I196" s="10" t="n"/>
    </row>
    <row r="197">
      <c r="A197" s="9" t="n"/>
      <c r="B197" s="10" t="n"/>
      <c r="C197" s="10" t="n"/>
      <c r="D197" s="9" t="n"/>
      <c r="E197" s="9" t="n"/>
      <c r="F197" s="12" t="n"/>
      <c r="G197" s="9" t="n"/>
      <c r="H197" s="10" t="n"/>
      <c r="I197" s="10" t="n"/>
    </row>
    <row r="198">
      <c r="A198" s="9" t="n"/>
      <c r="B198" s="10" t="n"/>
      <c r="C198" s="10" t="n"/>
      <c r="D198" s="9" t="n"/>
      <c r="E198" s="9" t="n"/>
      <c r="F198" s="12" t="n"/>
      <c r="G198" s="9" t="n"/>
      <c r="H198" s="10" t="n"/>
      <c r="I198" s="10" t="n"/>
    </row>
    <row r="199">
      <c r="A199" s="9" t="n"/>
      <c r="B199" s="10" t="n"/>
      <c r="C199" s="10" t="n"/>
      <c r="D199" s="9" t="n"/>
      <c r="E199" s="9" t="n"/>
      <c r="F199" s="12" t="n"/>
      <c r="G199" s="9" t="n"/>
      <c r="H199" s="10" t="n"/>
      <c r="I199" s="10" t="n"/>
    </row>
    <row r="200">
      <c r="A200" s="9" t="n"/>
      <c r="B200" s="10" t="n"/>
      <c r="C200" s="10" t="n"/>
      <c r="D200" s="9" t="n"/>
      <c r="E200" s="9" t="n"/>
      <c r="F200" s="12" t="n"/>
      <c r="G200" s="9" t="n"/>
      <c r="H200" s="10" t="n"/>
      <c r="I200" s="10" t="n"/>
    </row>
  </sheetData>
  <mergeCells count="4">
    <mergeCell ref="A1:I1"/>
    <mergeCell ref="L2:M2"/>
    <mergeCell ref="A2:I2"/>
    <mergeCell ref="L1:M1"/>
  </mergeCells>
  <conditionalFormatting sqref="F5:F200">
    <cfRule type="cellIs" priority="1" operator="greaterThanOrEqual" dxfId="3">
      <formula>0.95</formula>
    </cfRule>
    <cfRule type="cellIs" priority="2" operator="between" dxfId="0">
      <formula>0.9</formula>
      <formula>0.9499</formula>
    </cfRule>
    <cfRule type="cellIs" priority="3" operator="between" dxfId="1">
      <formula>0.8</formula>
      <formula>0.8999</formula>
    </cfRule>
    <cfRule type="cellIs" priority="4" operator="lessThan" dxfId="2">
      <formula>0.8</formula>
    </cfRule>
  </conditionalFormatting>
  <conditionalFormatting sqref="G5:G200">
    <cfRule type="expression" priority="5" dxfId="3">
      <formula>$G5="Excellent"</formula>
    </cfRule>
    <cfRule type="expression" priority="6" dxfId="0">
      <formula>$G5="Meets Expectations"</formula>
    </cfRule>
    <cfRule type="expression" priority="7" dxfId="1">
      <formula>$G5="Needs Improvement"</formula>
    </cfRule>
    <cfRule type="expression" priority="8" dxfId="2">
      <formula>$G5="Corrective Education Required"</formula>
    </cfRule>
  </conditionalFormatting>
  <conditionalFormatting sqref="M8">
    <cfRule type="cellIs" priority="9" operator="greaterThanOrEqual" dxfId="3">
      <formula>0.95</formula>
    </cfRule>
    <cfRule type="cellIs" priority="10" operator="between" dxfId="0">
      <formula>0.9</formula>
      <formula>0.9499</formula>
    </cfRule>
    <cfRule type="cellIs" priority="11" operator="between" dxfId="1">
      <formula>0.8</formula>
      <formula>0.8999</formula>
    </cfRule>
    <cfRule type="cellIs" priority="12" operator="lessThan" dxfId="2">
      <formula>0.8</formula>
    </cfRule>
  </conditionalFormatting>
  <conditionalFormatting sqref="M13">
    <cfRule type="expression" priority="13" dxfId="3">
      <formula>M13="Excellent"</formula>
    </cfRule>
    <cfRule type="expression" priority="14" dxfId="0">
      <formula>M13="Meets Expectations"</formula>
    </cfRule>
    <cfRule type="expression" priority="15" dxfId="1">
      <formula>M13="Needs Improvement"</formula>
    </cfRule>
    <cfRule type="expression" priority="16" dxfId="2">
      <formula>M13="Corrective Education Required"</formula>
    </cfRule>
  </conditionalFormatting>
  <dataValidations count="3">
    <dataValidation sqref="E5:E200" showDropDown="0" showInputMessage="0" showErrorMessage="0" allowBlank="1" type="list">
      <formula1>"Diabetes,Chronic Kidney Disease,Annual Wellness Visit,High RAF Patient,Random Selection"</formula1>
    </dataValidation>
    <dataValidation sqref="G5:G200" showDropDown="0" showInputMessage="0" showErrorMessage="0" allowBlank="1" type="list">
      <formula1>"Excellent,Meets Expectations,Needs Improvement,Corrective Education Required"</formula1>
    </dataValidation>
    <dataValidation sqref="M5" showDropDown="0" showInputMessage="0" showErrorMessage="0" allowBlank="1" type="list">
      <formula1>"2026-01,2026-02,2026-03,2026-04,2026-05,2026-06,2026-07,2026-08,2026-09,2026-10,2026-11,2026-12,2027-01,2027-02,2027-03,2027-04,2027-05,2027-06,2027-07,2027-08,2027-09,2027-10,2027-11,2027-12"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334155"/>
    <outlinePr summaryBelow="1" summaryRight="1"/>
    <pageSetUpPr/>
  </sheetPr>
  <dimension ref="A1:D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24" customWidth="1" min="4" max="4"/>
  </cols>
  <sheetData>
    <row r="1" ht="30" customHeight="1">
      <c r="A1" s="19" t="inlineStr">
        <is>
          <t>Quick Reference — SOAP · Bands · High-Risk Dx · CPT II</t>
        </is>
      </c>
    </row>
    <row r="3" ht="22" customHeight="1">
      <c r="A3" s="20" t="inlineStr">
        <is>
          <t>SOAP Note Structure</t>
        </is>
      </c>
    </row>
    <row r="4">
      <c r="A4" s="7" t="inlineStr">
        <is>
          <t>Element</t>
        </is>
      </c>
      <c r="B4" s="7" t="inlineStr">
        <is>
          <t>Meaning</t>
        </is>
      </c>
      <c r="C4" s="7" t="inlineStr">
        <is>
          <t>Documentation Example</t>
        </is>
      </c>
      <c r="D4" s="7" t="inlineStr"/>
    </row>
    <row r="5">
      <c r="A5" s="9" t="inlineStr">
        <is>
          <t>Subjective</t>
        </is>
      </c>
      <c r="B5" s="9" t="inlineStr">
        <is>
          <t>Patient history, symptoms, concerns</t>
        </is>
      </c>
      <c r="C5" s="10" t="inlineStr">
        <is>
          <t>'Patient reports 2-week low mood, poor sleep, denies SI/HI'</t>
        </is>
      </c>
      <c r="D5" s="9" t="inlineStr"/>
    </row>
    <row r="6">
      <c r="A6" s="9" t="inlineStr">
        <is>
          <t>Objective</t>
        </is>
      </c>
      <c r="B6" s="9" t="inlineStr">
        <is>
          <t>Exam findings, vitals, labs, screening scores</t>
        </is>
      </c>
      <c r="C6" s="10" t="inlineStr">
        <is>
          <t>'BP 128/82, PHQ-9 = 14, GAD-7 = 9, MSE alert &amp; oriented'</t>
        </is>
      </c>
      <c r="D6" s="9" t="inlineStr"/>
    </row>
    <row r="7">
      <c r="A7" s="9" t="inlineStr">
        <is>
          <t>Assessment</t>
        </is>
      </c>
      <c r="B7" s="9" t="inlineStr">
        <is>
          <t>Diagnosis with clinical reasoning</t>
        </is>
      </c>
      <c r="C7" s="10" t="inlineStr">
        <is>
          <t>'MDD moderate (F32.1) — partial response; GAD (F41.1) stable'</t>
        </is>
      </c>
      <c r="D7" s="9" t="inlineStr"/>
    </row>
    <row r="8">
      <c r="A8" s="9" t="inlineStr">
        <is>
          <t>Plan</t>
        </is>
      </c>
      <c r="B8" s="9" t="inlineStr">
        <is>
          <t>Treatment plan documented in full</t>
        </is>
      </c>
      <c r="C8" s="10" t="inlineStr">
        <is>
          <t>'Continue escitalopram 10 mg; CBT weekly; recheck PHQ-9 in 4 wk'</t>
        </is>
      </c>
      <c r="D8" s="9" t="inlineStr"/>
    </row>
    <row r="10" ht="22" customHeight="1">
      <c r="A10" s="20" t="inlineStr">
        <is>
          <t>Performance Bands</t>
        </is>
      </c>
    </row>
    <row r="11">
      <c r="A11" s="7" t="inlineStr">
        <is>
          <t>Range</t>
        </is>
      </c>
      <c r="B11" s="7" t="inlineStr">
        <is>
          <t>Band</t>
        </is>
      </c>
      <c r="C11" s="7" t="inlineStr">
        <is>
          <t>Action</t>
        </is>
      </c>
      <c r="D11" s="7" t="inlineStr"/>
    </row>
    <row r="12">
      <c r="A12" s="9" t="inlineStr">
        <is>
          <t>95 – 100%</t>
        </is>
      </c>
      <c r="B12" s="21" t="inlineStr">
        <is>
          <t>Excellent</t>
        </is>
      </c>
      <c r="C12" s="10" t="inlineStr">
        <is>
          <t>Recognize provider · use as peer example</t>
        </is>
      </c>
      <c r="D12" s="9" t="inlineStr"/>
    </row>
    <row r="13">
      <c r="A13" s="9" t="inlineStr">
        <is>
          <t>90 – 94%</t>
        </is>
      </c>
      <c r="B13" s="22" t="inlineStr">
        <is>
          <t>Meets Expectations</t>
        </is>
      </c>
      <c r="C13" s="10" t="inlineStr">
        <is>
          <t>Standard feedback · no action needed</t>
        </is>
      </c>
      <c r="D13" s="9" t="inlineStr"/>
    </row>
    <row r="14">
      <c r="A14" s="9" t="inlineStr">
        <is>
          <t>80 – 89%</t>
        </is>
      </c>
      <c r="B14" s="23" t="inlineStr">
        <is>
          <t>Needs Improvement</t>
        </is>
      </c>
      <c r="C14" s="10" t="inlineStr">
        <is>
          <t>Targeted education · monitor next cycle</t>
        </is>
      </c>
      <c r="D14" s="9" t="inlineStr"/>
    </row>
    <row r="15">
      <c r="A15" s="9" t="inlineStr">
        <is>
          <t>&lt; 80%</t>
        </is>
      </c>
      <c r="B15" s="24" t="inlineStr">
        <is>
          <t>Corrective Education Required</t>
        </is>
      </c>
      <c r="C15" s="10" t="inlineStr">
        <is>
          <t>Structured plan + re-audit in 60–90 days</t>
        </is>
      </c>
      <c r="D15" s="9" t="inlineStr"/>
    </row>
    <row r="17" ht="22" customHeight="1">
      <c r="A17" s="20" t="inlineStr">
        <is>
          <t>High-Risk / High-Impact ICD-10</t>
        </is>
      </c>
    </row>
    <row r="18">
      <c r="A18" s="7" t="inlineStr">
        <is>
          <t>ICD-10</t>
        </is>
      </c>
      <c r="B18" s="7" t="inlineStr">
        <is>
          <t>Category</t>
        </is>
      </c>
      <c r="C18" s="7" t="inlineStr">
        <is>
          <t>Description</t>
        </is>
      </c>
      <c r="D18" s="7" t="inlineStr">
        <is>
          <t>Note</t>
        </is>
      </c>
    </row>
    <row r="19">
      <c r="A19" s="9" t="inlineStr">
        <is>
          <t>E11.9</t>
        </is>
      </c>
      <c r="B19" s="9" t="inlineStr">
        <is>
          <t>Diabetes</t>
        </is>
      </c>
      <c r="C19" s="10" t="inlineStr">
        <is>
          <t>Type 2 DM without complications</t>
        </is>
      </c>
      <c r="D19" s="10" t="inlineStr">
        <is>
          <t>Unspecified — push toward specificity</t>
        </is>
      </c>
    </row>
    <row r="20">
      <c r="A20" s="9" t="inlineStr">
        <is>
          <t>E11.22</t>
        </is>
      </c>
      <c r="B20" s="9" t="inlineStr">
        <is>
          <t>Diabetes</t>
        </is>
      </c>
      <c r="C20" s="10" t="inlineStr">
        <is>
          <t>Type 2 DM with diabetic CKD</t>
        </is>
      </c>
      <c r="D20" s="10" t="inlineStr">
        <is>
          <t>HCC combination code</t>
        </is>
      </c>
    </row>
    <row r="21">
      <c r="A21" s="9" t="inlineStr">
        <is>
          <t>E11.42</t>
        </is>
      </c>
      <c r="B21" s="9" t="inlineStr">
        <is>
          <t>Diabetes</t>
        </is>
      </c>
      <c r="C21" s="10" t="inlineStr">
        <is>
          <t>Type 2 DM with polyneuropathy</t>
        </is>
      </c>
      <c r="D21" s="10" t="inlineStr">
        <is>
          <t>Common under-reported combo</t>
        </is>
      </c>
    </row>
    <row r="22">
      <c r="A22" s="9" t="inlineStr">
        <is>
          <t>N18.3</t>
        </is>
      </c>
      <c r="B22" s="9" t="inlineStr">
        <is>
          <t>CKD</t>
        </is>
      </c>
      <c r="C22" s="10" t="inlineStr">
        <is>
          <t>CKD, stage 3 (unspecified)</t>
        </is>
      </c>
      <c r="D22" s="10" t="inlineStr">
        <is>
          <t>Prefer N18.30 / N18.31 / N18.32</t>
        </is>
      </c>
    </row>
    <row r="23">
      <c r="A23" s="9" t="inlineStr">
        <is>
          <t>N18.4</t>
        </is>
      </c>
      <c r="B23" s="9" t="inlineStr">
        <is>
          <t>CKD</t>
        </is>
      </c>
      <c r="C23" s="10" t="inlineStr">
        <is>
          <t>CKD, stage 4</t>
        </is>
      </c>
      <c r="D23" s="10" t="inlineStr">
        <is>
          <t>HCC</t>
        </is>
      </c>
    </row>
    <row r="24">
      <c r="A24" s="9" t="inlineStr">
        <is>
          <t>I50.9</t>
        </is>
      </c>
      <c r="B24" s="9" t="inlineStr">
        <is>
          <t>Heart failure</t>
        </is>
      </c>
      <c r="C24" s="10" t="inlineStr">
        <is>
          <t>Heart failure, unspecified</t>
        </is>
      </c>
      <c r="D24" s="10" t="inlineStr">
        <is>
          <t>Prefer systolic/diastolic + acuity</t>
        </is>
      </c>
    </row>
    <row r="25">
      <c r="A25" s="9" t="inlineStr">
        <is>
          <t>J44.9</t>
        </is>
      </c>
      <c r="B25" s="9" t="inlineStr">
        <is>
          <t>COPD</t>
        </is>
      </c>
      <c r="C25" s="10" t="inlineStr">
        <is>
          <t>COPD, unspecified</t>
        </is>
      </c>
      <c r="D25" s="10" t="inlineStr">
        <is>
          <t>Consider J44.1 acute exacerbation</t>
        </is>
      </c>
    </row>
    <row r="26">
      <c r="A26" s="9" t="inlineStr">
        <is>
          <t>F32.9</t>
        </is>
      </c>
      <c r="B26" s="9" t="inlineStr">
        <is>
          <t>Depression</t>
        </is>
      </c>
      <c r="C26" s="10" t="inlineStr">
        <is>
          <t>MDD, single episode, unspecified</t>
        </is>
      </c>
      <c r="D26" s="10" t="inlineStr">
        <is>
          <t>Prefer F32.0–F32.3</t>
        </is>
      </c>
    </row>
    <row r="27">
      <c r="A27" s="9" t="inlineStr">
        <is>
          <t>F41.9</t>
        </is>
      </c>
      <c r="B27" s="9" t="inlineStr">
        <is>
          <t>Anxiety</t>
        </is>
      </c>
      <c r="C27" s="10" t="inlineStr">
        <is>
          <t>Anxiety disorder, unspecified</t>
        </is>
      </c>
      <c r="D27" s="10" t="inlineStr">
        <is>
          <t>Prefer F41.1 GAD</t>
        </is>
      </c>
    </row>
    <row r="28">
      <c r="A28" s="9" t="inlineStr">
        <is>
          <t>I10</t>
        </is>
      </c>
      <c r="B28" s="9" t="inlineStr">
        <is>
          <t>Hypertension</t>
        </is>
      </c>
      <c r="C28" s="10" t="inlineStr">
        <is>
          <t>Essential hypertension</t>
        </is>
      </c>
      <c r="D28" s="10" t="inlineStr">
        <is>
          <t>Watch for HTN heart/CKD combos</t>
        </is>
      </c>
    </row>
    <row r="29">
      <c r="A29" s="9" t="inlineStr">
        <is>
          <t>Z79.4</t>
        </is>
      </c>
      <c r="B29" s="9" t="inlineStr">
        <is>
          <t>Long-term meds</t>
        </is>
      </c>
      <c r="C29" s="10" t="inlineStr">
        <is>
          <t>Long-term insulin use</t>
        </is>
      </c>
      <c r="D29" s="10" t="inlineStr">
        <is>
          <t>Required with insulin-dependent DM</t>
        </is>
      </c>
    </row>
    <row r="31" ht="22" customHeight="1">
      <c r="A31" s="49" t="inlineStr">
        <is>
          <t>Documentation Needed for CPT II Capture</t>
        </is>
      </c>
    </row>
    <row r="32" ht="32" customHeight="1">
      <c r="A32" s="50" t="inlineStr">
        <is>
          <t>The billing team assigns the codes below — your job is to document the specific value AND the follow-up action so they can capture the measure.</t>
        </is>
      </c>
      <c r="B32" s="53" t="n"/>
      <c r="C32" s="53" t="n"/>
      <c r="D32" s="54" t="n"/>
    </row>
    <row r="33" ht="6" customHeight="1"/>
    <row r="34">
      <c r="A34" s="7" t="inlineStr">
        <is>
          <t>Measure</t>
        </is>
      </c>
      <c r="B34" s="7" t="inlineStr">
        <is>
          <t>CPT II Codes</t>
        </is>
      </c>
      <c r="C34" s="7" t="inlineStr">
        <is>
          <t>Trigger</t>
        </is>
      </c>
      <c r="D34" s="7" t="inlineStr">
        <is>
          <t>Notes</t>
        </is>
      </c>
    </row>
    <row r="35">
      <c r="A35" s="9" t="inlineStr">
        <is>
          <t>HbA1c control (DM)</t>
        </is>
      </c>
      <c r="B35" s="9" t="inlineStr">
        <is>
          <t>3044F / 3046F / 3051F / 3052F</t>
        </is>
      </c>
      <c r="C35" s="10" t="inlineStr">
        <is>
          <t>Diabetes patients</t>
        </is>
      </c>
      <c r="D35" s="10" t="inlineStr">
        <is>
          <t>Report per most recent A1c</t>
        </is>
      </c>
    </row>
    <row r="36">
      <c r="A36" s="9" t="inlineStr">
        <is>
          <t>BP control (HTN)</t>
        </is>
      </c>
      <c r="B36" s="9" t="inlineStr">
        <is>
          <t>3074F / 3075F / 3077F / 3078F</t>
        </is>
      </c>
      <c r="C36" s="10" t="inlineStr">
        <is>
          <t>Hypertension patients</t>
        </is>
      </c>
      <c r="D36" s="10" t="inlineStr">
        <is>
          <t>Document sys &amp; dias</t>
        </is>
      </c>
    </row>
    <row r="37">
      <c r="A37" s="9" t="inlineStr">
        <is>
          <t>BMI screening + follow-up</t>
        </is>
      </c>
      <c r="B37" s="9" t="inlineStr">
        <is>
          <t>G8417 / G8418 / G8420</t>
        </is>
      </c>
      <c r="C37" s="10" t="inlineStr">
        <is>
          <t>All adult visits</t>
        </is>
      </c>
      <c r="D37" s="10" t="inlineStr">
        <is>
          <t>Include intervention if abnormal</t>
        </is>
      </c>
    </row>
    <row r="38">
      <c r="A38" s="9" t="inlineStr">
        <is>
          <t>Tobacco screening + cessation</t>
        </is>
      </c>
      <c r="B38" s="9" t="inlineStr">
        <is>
          <t>1036F / 4004F</t>
        </is>
      </c>
      <c r="C38" s="10" t="inlineStr">
        <is>
          <t>All adult visits</t>
        </is>
      </c>
      <c r="D38" s="10" t="inlineStr">
        <is>
          <t>Screening + counseling combo</t>
        </is>
      </c>
    </row>
    <row r="39">
      <c r="A39" s="9" t="inlineStr">
        <is>
          <t>Depression screening + plan</t>
        </is>
      </c>
      <c r="B39" s="9" t="inlineStr">
        <is>
          <t>G8431 / G8510</t>
        </is>
      </c>
      <c r="C39" s="10" t="inlineStr">
        <is>
          <t>All adult visits</t>
        </is>
      </c>
      <c r="D39" s="10" t="inlineStr">
        <is>
          <t>PHQ-2 / PHQ-9 documented</t>
        </is>
      </c>
    </row>
    <row r="40">
      <c r="A40" s="9" t="inlineStr">
        <is>
          <t>Statin therapy for CVD</t>
        </is>
      </c>
      <c r="B40" s="9" t="inlineStr">
        <is>
          <t>0521F / 4013F</t>
        </is>
      </c>
      <c r="C40" s="10" t="inlineStr">
        <is>
          <t>ASCVD / DM / LDL ≥190</t>
        </is>
      </c>
      <c r="D40" s="10" t="inlineStr">
        <is>
          <t>On statin, refused, or contraindicated</t>
        </is>
      </c>
    </row>
    <row r="41">
      <c r="A41" s="9" t="inlineStr">
        <is>
          <t>Diabetic eye exam</t>
        </is>
      </c>
      <c r="B41" s="9" t="inlineStr">
        <is>
          <t>2022F / 2024F / 2026F</t>
        </is>
      </c>
      <c r="C41" s="10" t="inlineStr">
        <is>
          <t>Diabetes patients</t>
        </is>
      </c>
      <c r="D41" s="10" t="inlineStr">
        <is>
          <t>Negative or positive result</t>
        </is>
      </c>
    </row>
    <row r="42">
      <c r="A42" s="9" t="inlineStr">
        <is>
          <t>Nephropathy screening</t>
        </is>
      </c>
      <c r="B42" s="9" t="inlineStr">
        <is>
          <t>3060F / 3061F / 3062F</t>
        </is>
      </c>
      <c r="C42" s="10" t="inlineStr">
        <is>
          <t>Diabetes patients</t>
        </is>
      </c>
      <c r="D42" s="10" t="inlineStr">
        <is>
          <t>Urine albumin / on ACE-ARB</t>
        </is>
      </c>
    </row>
    <row r="43">
      <c r="A43" s="9" t="inlineStr">
        <is>
          <t>Med rec post-discharge</t>
        </is>
      </c>
      <c r="B43" s="9" t="inlineStr">
        <is>
          <t>1111F</t>
        </is>
      </c>
      <c r="C43" s="10" t="inlineStr">
        <is>
          <t>Discharge in last 30 d</t>
        </is>
      </c>
      <c r="D43" s="10" t="inlineStr">
        <is>
          <t>Reconciliation documented</t>
        </is>
      </c>
    </row>
    <row r="44">
      <c r="A44" s="9" t="inlineStr">
        <is>
          <t>Fall risk assessment</t>
        </is>
      </c>
      <c r="B44" s="9" t="inlineStr">
        <is>
          <t>1101F</t>
        </is>
      </c>
      <c r="C44" s="10" t="inlineStr">
        <is>
          <t>Age 65+</t>
        </is>
      </c>
      <c r="D44" s="10" t="inlineStr">
        <is>
          <t>Yearly for MA populations</t>
        </is>
      </c>
    </row>
  </sheetData>
  <mergeCells count="6">
    <mergeCell ref="A1:D1"/>
    <mergeCell ref="A17:D17"/>
    <mergeCell ref="A31:D31"/>
    <mergeCell ref="A3:D3"/>
    <mergeCell ref="A10:D10"/>
    <mergeCell ref="A32:D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B45309"/>
    <outlinePr summaryBelow="1" summaryRight="1"/>
    <pageSetUpPr/>
  </sheetPr>
  <dimension ref="A1:N17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3" customWidth="1" min="15" max="15"/>
  </cols>
  <sheetData>
    <row r="1" ht="42" customHeight="1">
      <c r="A1" s="25" t="inlineStr">
        <is>
          <t>Quarterly Audit Report</t>
        </is>
      </c>
    </row>
    <row r="2" ht="26" customHeight="1">
      <c r="A2" s="26" t="inlineStr">
        <is>
          <t>Pick a quarter &amp; year — metrics and charts recalculate from the Audit Log automatically.</t>
        </is>
      </c>
    </row>
    <row r="3" ht="10" customHeight="1"/>
    <row r="4" ht="30" customHeight="1">
      <c r="B4" s="3" t="inlineStr">
        <is>
          <t>Quarter:</t>
        </is>
      </c>
      <c r="C4" s="41" t="inlineStr">
        <is>
          <t>Q3</t>
        </is>
      </c>
      <c r="D4" s="3" t="inlineStr">
        <is>
          <t>Year:</t>
        </is>
      </c>
      <c r="E4" s="41" t="n">
        <v>2026</v>
      </c>
      <c r="H4" s="42" t="inlineStr">
        <is>
          <t>Range</t>
        </is>
      </c>
      <c r="I4" s="9">
        <f>CHOOSE(MATCH($C$4,{"Q1","Q2","Q3","Q4"},0),"Jan – Mar","Apr – Jun","Jul – Sep","Oct – Dec")</f>
        <v/>
      </c>
      <c r="J4" s="43">
        <f>$E$4</f>
        <v/>
      </c>
    </row>
    <row r="6" ht="22" customHeight="1">
      <c r="B6" s="44" t="inlineStr">
        <is>
          <t>Charts Audited</t>
        </is>
      </c>
      <c r="C6" s="54" t="n"/>
      <c r="D6" s="44" t="inlineStr">
        <is>
          <t>Avg Compliance %</t>
        </is>
      </c>
      <c r="E6" s="54" t="n"/>
      <c r="F6" s="44" t="inlineStr">
        <is>
          <t>Meeting Expectations (≥90%)</t>
        </is>
      </c>
      <c r="G6" s="54" t="n"/>
      <c r="H6" s="44" t="inlineStr">
        <is>
          <t>Corrective Required (&lt;80%)</t>
        </is>
      </c>
      <c r="I6" s="54" t="n"/>
    </row>
    <row r="7" ht="30" customHeight="1">
      <c r="B7" s="46">
        <f>SUMPRODUCT(('Audit Log'!$A$5:$A$200&lt;&gt;"")*(MONTH('Audit Log'!$A$5:$A$200)&gt;=((MATCH($C$4,{"Q1","Q2","Q3","Q4"},0)-1)*3)+1)*(MONTH('Audit Log'!$A$5:$A$200)&lt;=MATCH($C$4,{"Q1","Q2","Q3","Q4"},0)*3)*(YEAR('Audit Log'!$A$5:$A$200)=$E$4)*1)</f>
        <v/>
      </c>
      <c r="C7" s="59" t="n"/>
      <c r="D7" s="47">
        <f>IFERROR(SUMPRODUCT(('Audit Log'!$A$5:$A$200&lt;&gt;"")*(MONTH('Audit Log'!$A$5:$A$200)&gt;=((MATCH($C$4,{"Q1","Q2","Q3","Q4"},0)-1)*3)+1)*(MONTH('Audit Log'!$A$5:$A$200)&lt;=MATCH($C$4,{"Q1","Q2","Q3","Q4"},0)*3)*(YEAR('Audit Log'!$A$5:$A$200)=$E$4)*'Audit Log'!$F$5:$F$200)/SUMPRODUCT(('Audit Log'!$A$5:$A$200&lt;&gt;"")*(MONTH('Audit Log'!$A$5:$A$200)&gt;=((MATCH($C$4,{"Q1","Q2","Q3","Q4"},0)-1)*3)+1)*(MONTH('Audit Log'!$A$5:$A$200)&lt;=MATCH($C$4,{"Q1","Q2","Q3","Q4"},0)*3)*(YEAR('Audit Log'!$A$5:$A$200)=$E$4)*('Audit Log'!$F$5:$F$200&lt;&gt;"")),"")</f>
        <v/>
      </c>
      <c r="E7" s="59" t="n"/>
      <c r="F7" s="46">
        <f>SUMPRODUCT(('Audit Log'!$A$5:$A$200&lt;&gt;"")*(MONTH('Audit Log'!$A$5:$A$200)&gt;=((MATCH($C$4,{"Q1","Q2","Q3","Q4"},0)-1)*3)+1)*(MONTH('Audit Log'!$A$5:$A$200)&lt;=MATCH($C$4,{"Q1","Q2","Q3","Q4"},0)*3)*(YEAR('Audit Log'!$A$5:$A$200)=$E$4)*('Audit Log'!$F$5:$F$200&gt;=0.9))</f>
        <v/>
      </c>
      <c r="G7" s="59" t="n"/>
      <c r="H7" s="46">
        <f>SUMPRODUCT(('Audit Log'!$A$5:$A$200&lt;&gt;"")*(MONTH('Audit Log'!$A$5:$A$200)&gt;=((MATCH($C$4,{"Q1","Q2","Q3","Q4"},0)-1)*3)+1)*(MONTH('Audit Log'!$A$5:$A$200)&lt;=MATCH($C$4,{"Q1","Q2","Q3","Q4"},0)*3)*(YEAR('Audit Log'!$A$5:$A$200)=$E$4)*('Audit Log'!$F$5:$F$200&lt;0.8)*('Audit Log'!$F$5:$F$200&lt;&gt;""))</f>
        <v/>
      </c>
      <c r="I7" s="59" t="n"/>
    </row>
    <row r="8" ht="30" customHeight="1">
      <c r="B8" s="60" t="n"/>
      <c r="C8" s="61" t="n"/>
      <c r="D8" s="60" t="n"/>
      <c r="E8" s="61" t="n"/>
      <c r="F8" s="60" t="n"/>
      <c r="G8" s="61" t="n"/>
      <c r="H8" s="60" t="n"/>
      <c r="I8" s="61" t="n"/>
    </row>
    <row r="9" ht="10" customHeight="1">
      <c r="A9" s="62" t="n"/>
      <c r="B9" s="62" t="n"/>
      <c r="C9" s="62" t="n"/>
      <c r="D9" s="62" t="n"/>
      <c r="E9" s="62" t="n"/>
      <c r="F9" s="62" t="n"/>
      <c r="G9" s="62" t="n"/>
      <c r="H9" s="62" t="n"/>
      <c r="I9" s="62" t="n"/>
      <c r="J9" s="62" t="n"/>
    </row>
    <row r="10" ht="30" customHeight="1">
      <c r="A10" s="63" t="inlineStr">
        <is>
          <t xml:space="preserve">  Provider Progression — Monthly Compliance % by Provider</t>
        </is>
      </c>
    </row>
    <row r="11" ht="22" customHeight="1">
      <c r="A11" s="64" t="inlineStr">
        <is>
          <t>Type each provider's name in column B — the row fills in automatically from the Audit Log for the year picked above. Rising lines = improvement · falling lines = decline.</t>
        </is>
      </c>
    </row>
    <row r="12" ht="26" customHeight="1">
      <c r="A12" s="6" t="inlineStr"/>
      <c r="B12" s="6" t="inlineStr">
        <is>
          <t>Provider</t>
        </is>
      </c>
      <c r="C12" s="6" t="inlineStr">
        <is>
          <t>Jan</t>
        </is>
      </c>
      <c r="D12" s="6" t="inlineStr">
        <is>
          <t>Feb</t>
        </is>
      </c>
      <c r="E12" s="6" t="inlineStr">
        <is>
          <t>Mar</t>
        </is>
      </c>
      <c r="F12" s="6" t="inlineStr">
        <is>
          <t>Apr</t>
        </is>
      </c>
      <c r="G12" s="6" t="inlineStr">
        <is>
          <t>May</t>
        </is>
      </c>
      <c r="H12" s="6" t="inlineStr">
        <is>
          <t>Jun</t>
        </is>
      </c>
      <c r="I12" s="6" t="inlineStr">
        <is>
          <t>Jul</t>
        </is>
      </c>
      <c r="J12" s="6" t="inlineStr">
        <is>
          <t>Aug</t>
        </is>
      </c>
      <c r="K12" s="6" t="inlineStr">
        <is>
          <t>Sep</t>
        </is>
      </c>
      <c r="L12" s="6" t="inlineStr">
        <is>
          <t>Oct</t>
        </is>
      </c>
      <c r="M12" s="6" t="inlineStr">
        <is>
          <t>Nov</t>
        </is>
      </c>
      <c r="N12" s="6" t="inlineStr">
        <is>
          <t>Dec</t>
        </is>
      </c>
    </row>
    <row r="13" ht="24" customHeight="1">
      <c r="A13" s="65" t="n">
        <v>1</v>
      </c>
      <c r="B13" s="66" t="inlineStr">
        <is>
          <t>Dr. Rivera</t>
        </is>
      </c>
      <c r="C13" s="67">
        <f>IF($B13="","",IFERROR(SUMPRODUCT(('Audit Log'!$B$5:$B$200=$B13)*ISNUMBER('Audit Log'!$A$5:$A$200)*(MONTH('Audit Log'!$A$5:$A$200)=1)*(YEAR('Audit Log'!$A$5:$A$200)=$E$4)*'Audit Log'!$F$5:$F$200)/SUMPRODUCT(('Audit Log'!$B$5:$B$200=$B13)*ISNUMBER('Audit Log'!$A$5:$A$200)*(MONTH('Audit Log'!$A$5:$A$200)=1)*(YEAR('Audit Log'!$A$5:$A$200)=$E$4)*('Audit Log'!$F$5:$F$200&lt;&gt;"")),""))</f>
        <v/>
      </c>
      <c r="D13" s="67">
        <f>IF($B13="","",IFERROR(SUMPRODUCT(('Audit Log'!$B$5:$B$200=$B13)*ISNUMBER('Audit Log'!$A$5:$A$200)*(MONTH('Audit Log'!$A$5:$A$200)=2)*(YEAR('Audit Log'!$A$5:$A$200)=$E$4)*'Audit Log'!$F$5:$F$200)/SUMPRODUCT(('Audit Log'!$B$5:$B$200=$B13)*ISNUMBER('Audit Log'!$A$5:$A$200)*(MONTH('Audit Log'!$A$5:$A$200)=2)*(YEAR('Audit Log'!$A$5:$A$200)=$E$4)*('Audit Log'!$F$5:$F$200&lt;&gt;"")),""))</f>
        <v/>
      </c>
      <c r="E13" s="67">
        <f>IF($B13="","",IFERROR(SUMPRODUCT(('Audit Log'!$B$5:$B$200=$B13)*ISNUMBER('Audit Log'!$A$5:$A$200)*(MONTH('Audit Log'!$A$5:$A$200)=3)*(YEAR('Audit Log'!$A$5:$A$200)=$E$4)*'Audit Log'!$F$5:$F$200)/SUMPRODUCT(('Audit Log'!$B$5:$B$200=$B13)*ISNUMBER('Audit Log'!$A$5:$A$200)*(MONTH('Audit Log'!$A$5:$A$200)=3)*(YEAR('Audit Log'!$A$5:$A$200)=$E$4)*('Audit Log'!$F$5:$F$200&lt;&gt;"")),""))</f>
        <v/>
      </c>
      <c r="F13" s="67">
        <f>IF($B13="","",IFERROR(SUMPRODUCT(('Audit Log'!$B$5:$B$200=$B13)*ISNUMBER('Audit Log'!$A$5:$A$200)*(MONTH('Audit Log'!$A$5:$A$200)=4)*(YEAR('Audit Log'!$A$5:$A$200)=$E$4)*'Audit Log'!$F$5:$F$200)/SUMPRODUCT(('Audit Log'!$B$5:$B$200=$B13)*ISNUMBER('Audit Log'!$A$5:$A$200)*(MONTH('Audit Log'!$A$5:$A$200)=4)*(YEAR('Audit Log'!$A$5:$A$200)=$E$4)*('Audit Log'!$F$5:$F$200&lt;&gt;"")),""))</f>
        <v/>
      </c>
      <c r="G13" s="67">
        <f>IF($B13="","",IFERROR(SUMPRODUCT(('Audit Log'!$B$5:$B$200=$B13)*ISNUMBER('Audit Log'!$A$5:$A$200)*(MONTH('Audit Log'!$A$5:$A$200)=5)*(YEAR('Audit Log'!$A$5:$A$200)=$E$4)*'Audit Log'!$F$5:$F$200)/SUMPRODUCT(('Audit Log'!$B$5:$B$200=$B13)*ISNUMBER('Audit Log'!$A$5:$A$200)*(MONTH('Audit Log'!$A$5:$A$200)=5)*(YEAR('Audit Log'!$A$5:$A$200)=$E$4)*('Audit Log'!$F$5:$F$200&lt;&gt;"")),""))</f>
        <v/>
      </c>
      <c r="H13" s="67">
        <f>IF($B13="","",IFERROR(SUMPRODUCT(('Audit Log'!$B$5:$B$200=$B13)*ISNUMBER('Audit Log'!$A$5:$A$200)*(MONTH('Audit Log'!$A$5:$A$200)=6)*(YEAR('Audit Log'!$A$5:$A$200)=$E$4)*'Audit Log'!$F$5:$F$200)/SUMPRODUCT(('Audit Log'!$B$5:$B$200=$B13)*ISNUMBER('Audit Log'!$A$5:$A$200)*(MONTH('Audit Log'!$A$5:$A$200)=6)*(YEAR('Audit Log'!$A$5:$A$200)=$E$4)*('Audit Log'!$F$5:$F$200&lt;&gt;"")),""))</f>
        <v/>
      </c>
      <c r="I13" s="67">
        <f>IF($B13="","",IFERROR(SUMPRODUCT(('Audit Log'!$B$5:$B$200=$B13)*ISNUMBER('Audit Log'!$A$5:$A$200)*(MONTH('Audit Log'!$A$5:$A$200)=7)*(YEAR('Audit Log'!$A$5:$A$200)=$E$4)*'Audit Log'!$F$5:$F$200)/SUMPRODUCT(('Audit Log'!$B$5:$B$200=$B13)*ISNUMBER('Audit Log'!$A$5:$A$200)*(MONTH('Audit Log'!$A$5:$A$200)=7)*(YEAR('Audit Log'!$A$5:$A$200)=$E$4)*('Audit Log'!$F$5:$F$200&lt;&gt;"")),""))</f>
        <v/>
      </c>
      <c r="J13" s="67">
        <f>IF($B13="","",IFERROR(SUMPRODUCT(('Audit Log'!$B$5:$B$200=$B13)*ISNUMBER('Audit Log'!$A$5:$A$200)*(MONTH('Audit Log'!$A$5:$A$200)=8)*(YEAR('Audit Log'!$A$5:$A$200)=$E$4)*'Audit Log'!$F$5:$F$200)/SUMPRODUCT(('Audit Log'!$B$5:$B$200=$B13)*ISNUMBER('Audit Log'!$A$5:$A$200)*(MONTH('Audit Log'!$A$5:$A$200)=8)*(YEAR('Audit Log'!$A$5:$A$200)=$E$4)*('Audit Log'!$F$5:$F$200&lt;&gt;"")),""))</f>
        <v/>
      </c>
      <c r="K13" s="67">
        <f>IF($B13="","",IFERROR(SUMPRODUCT(('Audit Log'!$B$5:$B$200=$B13)*ISNUMBER('Audit Log'!$A$5:$A$200)*(MONTH('Audit Log'!$A$5:$A$200)=9)*(YEAR('Audit Log'!$A$5:$A$200)=$E$4)*'Audit Log'!$F$5:$F$200)/SUMPRODUCT(('Audit Log'!$B$5:$B$200=$B13)*ISNUMBER('Audit Log'!$A$5:$A$200)*(MONTH('Audit Log'!$A$5:$A$200)=9)*(YEAR('Audit Log'!$A$5:$A$200)=$E$4)*('Audit Log'!$F$5:$F$200&lt;&gt;"")),""))</f>
        <v/>
      </c>
      <c r="L13" s="67">
        <f>IF($B13="","",IFERROR(SUMPRODUCT(('Audit Log'!$B$5:$B$200=$B13)*ISNUMBER('Audit Log'!$A$5:$A$200)*(MONTH('Audit Log'!$A$5:$A$200)=10)*(YEAR('Audit Log'!$A$5:$A$200)=$E$4)*'Audit Log'!$F$5:$F$200)/SUMPRODUCT(('Audit Log'!$B$5:$B$200=$B13)*ISNUMBER('Audit Log'!$A$5:$A$200)*(MONTH('Audit Log'!$A$5:$A$200)=10)*(YEAR('Audit Log'!$A$5:$A$200)=$E$4)*('Audit Log'!$F$5:$F$200&lt;&gt;"")),""))</f>
        <v/>
      </c>
      <c r="M13" s="67">
        <f>IF($B13="","",IFERROR(SUMPRODUCT(('Audit Log'!$B$5:$B$200=$B13)*ISNUMBER('Audit Log'!$A$5:$A$200)*(MONTH('Audit Log'!$A$5:$A$200)=11)*(YEAR('Audit Log'!$A$5:$A$200)=$E$4)*'Audit Log'!$F$5:$F$200)/SUMPRODUCT(('Audit Log'!$B$5:$B$200=$B13)*ISNUMBER('Audit Log'!$A$5:$A$200)*(MONTH('Audit Log'!$A$5:$A$200)=11)*(YEAR('Audit Log'!$A$5:$A$200)=$E$4)*('Audit Log'!$F$5:$F$200&lt;&gt;"")),""))</f>
        <v/>
      </c>
      <c r="N13" s="67">
        <f>IF($B13="","",IFERROR(SUMPRODUCT(('Audit Log'!$B$5:$B$200=$B13)*ISNUMBER('Audit Log'!$A$5:$A$200)*(MONTH('Audit Log'!$A$5:$A$200)=12)*(YEAR('Audit Log'!$A$5:$A$200)=$E$4)*'Audit Log'!$F$5:$F$200)/SUMPRODUCT(('Audit Log'!$B$5:$B$200=$B13)*ISNUMBER('Audit Log'!$A$5:$A$200)*(MONTH('Audit Log'!$A$5:$A$200)=12)*(YEAR('Audit Log'!$A$5:$A$200)=$E$4)*('Audit Log'!$F$5:$F$200&lt;&gt;"")),""))</f>
        <v/>
      </c>
    </row>
    <row r="14" ht="24" customHeight="1">
      <c r="A14" s="65" t="n">
        <v>2</v>
      </c>
      <c r="B14" s="66" t="inlineStr">
        <is>
          <t>Dr. Colón</t>
        </is>
      </c>
      <c r="C14" s="67">
        <f>IF($B14="","",IFERROR(SUMPRODUCT(('Audit Log'!$B$5:$B$200=$B14)*ISNUMBER('Audit Log'!$A$5:$A$200)*(MONTH('Audit Log'!$A$5:$A$200)=1)*(YEAR('Audit Log'!$A$5:$A$200)=$E$4)*'Audit Log'!$F$5:$F$200)/SUMPRODUCT(('Audit Log'!$B$5:$B$200=$B14)*ISNUMBER('Audit Log'!$A$5:$A$200)*(MONTH('Audit Log'!$A$5:$A$200)=1)*(YEAR('Audit Log'!$A$5:$A$200)=$E$4)*('Audit Log'!$F$5:$F$200&lt;&gt;"")),""))</f>
        <v/>
      </c>
      <c r="D14" s="67">
        <f>IF($B14="","",IFERROR(SUMPRODUCT(('Audit Log'!$B$5:$B$200=$B14)*ISNUMBER('Audit Log'!$A$5:$A$200)*(MONTH('Audit Log'!$A$5:$A$200)=2)*(YEAR('Audit Log'!$A$5:$A$200)=$E$4)*'Audit Log'!$F$5:$F$200)/SUMPRODUCT(('Audit Log'!$B$5:$B$200=$B14)*ISNUMBER('Audit Log'!$A$5:$A$200)*(MONTH('Audit Log'!$A$5:$A$200)=2)*(YEAR('Audit Log'!$A$5:$A$200)=$E$4)*('Audit Log'!$F$5:$F$200&lt;&gt;"")),""))</f>
        <v/>
      </c>
      <c r="E14" s="67">
        <f>IF($B14="","",IFERROR(SUMPRODUCT(('Audit Log'!$B$5:$B$200=$B14)*ISNUMBER('Audit Log'!$A$5:$A$200)*(MONTH('Audit Log'!$A$5:$A$200)=3)*(YEAR('Audit Log'!$A$5:$A$200)=$E$4)*'Audit Log'!$F$5:$F$200)/SUMPRODUCT(('Audit Log'!$B$5:$B$200=$B14)*ISNUMBER('Audit Log'!$A$5:$A$200)*(MONTH('Audit Log'!$A$5:$A$200)=3)*(YEAR('Audit Log'!$A$5:$A$200)=$E$4)*('Audit Log'!$F$5:$F$200&lt;&gt;"")),""))</f>
        <v/>
      </c>
      <c r="F14" s="67">
        <f>IF($B14="","",IFERROR(SUMPRODUCT(('Audit Log'!$B$5:$B$200=$B14)*ISNUMBER('Audit Log'!$A$5:$A$200)*(MONTH('Audit Log'!$A$5:$A$200)=4)*(YEAR('Audit Log'!$A$5:$A$200)=$E$4)*'Audit Log'!$F$5:$F$200)/SUMPRODUCT(('Audit Log'!$B$5:$B$200=$B14)*ISNUMBER('Audit Log'!$A$5:$A$200)*(MONTH('Audit Log'!$A$5:$A$200)=4)*(YEAR('Audit Log'!$A$5:$A$200)=$E$4)*('Audit Log'!$F$5:$F$200&lt;&gt;"")),""))</f>
        <v/>
      </c>
      <c r="G14" s="67">
        <f>IF($B14="","",IFERROR(SUMPRODUCT(('Audit Log'!$B$5:$B$200=$B14)*ISNUMBER('Audit Log'!$A$5:$A$200)*(MONTH('Audit Log'!$A$5:$A$200)=5)*(YEAR('Audit Log'!$A$5:$A$200)=$E$4)*'Audit Log'!$F$5:$F$200)/SUMPRODUCT(('Audit Log'!$B$5:$B$200=$B14)*ISNUMBER('Audit Log'!$A$5:$A$200)*(MONTH('Audit Log'!$A$5:$A$200)=5)*(YEAR('Audit Log'!$A$5:$A$200)=$E$4)*('Audit Log'!$F$5:$F$200&lt;&gt;"")),""))</f>
        <v/>
      </c>
      <c r="H14" s="67">
        <f>IF($B14="","",IFERROR(SUMPRODUCT(('Audit Log'!$B$5:$B$200=$B14)*ISNUMBER('Audit Log'!$A$5:$A$200)*(MONTH('Audit Log'!$A$5:$A$200)=6)*(YEAR('Audit Log'!$A$5:$A$200)=$E$4)*'Audit Log'!$F$5:$F$200)/SUMPRODUCT(('Audit Log'!$B$5:$B$200=$B14)*ISNUMBER('Audit Log'!$A$5:$A$200)*(MONTH('Audit Log'!$A$5:$A$200)=6)*(YEAR('Audit Log'!$A$5:$A$200)=$E$4)*('Audit Log'!$F$5:$F$200&lt;&gt;"")),""))</f>
        <v/>
      </c>
      <c r="I14" s="67">
        <f>IF($B14="","",IFERROR(SUMPRODUCT(('Audit Log'!$B$5:$B$200=$B14)*ISNUMBER('Audit Log'!$A$5:$A$200)*(MONTH('Audit Log'!$A$5:$A$200)=7)*(YEAR('Audit Log'!$A$5:$A$200)=$E$4)*'Audit Log'!$F$5:$F$200)/SUMPRODUCT(('Audit Log'!$B$5:$B$200=$B14)*ISNUMBER('Audit Log'!$A$5:$A$200)*(MONTH('Audit Log'!$A$5:$A$200)=7)*(YEAR('Audit Log'!$A$5:$A$200)=$E$4)*('Audit Log'!$F$5:$F$200&lt;&gt;"")),""))</f>
        <v/>
      </c>
      <c r="J14" s="67">
        <f>IF($B14="","",IFERROR(SUMPRODUCT(('Audit Log'!$B$5:$B$200=$B14)*ISNUMBER('Audit Log'!$A$5:$A$200)*(MONTH('Audit Log'!$A$5:$A$200)=8)*(YEAR('Audit Log'!$A$5:$A$200)=$E$4)*'Audit Log'!$F$5:$F$200)/SUMPRODUCT(('Audit Log'!$B$5:$B$200=$B14)*ISNUMBER('Audit Log'!$A$5:$A$200)*(MONTH('Audit Log'!$A$5:$A$200)=8)*(YEAR('Audit Log'!$A$5:$A$200)=$E$4)*('Audit Log'!$F$5:$F$200&lt;&gt;"")),""))</f>
        <v/>
      </c>
      <c r="K14" s="67">
        <f>IF($B14="","",IFERROR(SUMPRODUCT(('Audit Log'!$B$5:$B$200=$B14)*ISNUMBER('Audit Log'!$A$5:$A$200)*(MONTH('Audit Log'!$A$5:$A$200)=9)*(YEAR('Audit Log'!$A$5:$A$200)=$E$4)*'Audit Log'!$F$5:$F$200)/SUMPRODUCT(('Audit Log'!$B$5:$B$200=$B14)*ISNUMBER('Audit Log'!$A$5:$A$200)*(MONTH('Audit Log'!$A$5:$A$200)=9)*(YEAR('Audit Log'!$A$5:$A$200)=$E$4)*('Audit Log'!$F$5:$F$200&lt;&gt;"")),""))</f>
        <v/>
      </c>
      <c r="L14" s="67">
        <f>IF($B14="","",IFERROR(SUMPRODUCT(('Audit Log'!$B$5:$B$200=$B14)*ISNUMBER('Audit Log'!$A$5:$A$200)*(MONTH('Audit Log'!$A$5:$A$200)=10)*(YEAR('Audit Log'!$A$5:$A$200)=$E$4)*'Audit Log'!$F$5:$F$200)/SUMPRODUCT(('Audit Log'!$B$5:$B$200=$B14)*ISNUMBER('Audit Log'!$A$5:$A$200)*(MONTH('Audit Log'!$A$5:$A$200)=10)*(YEAR('Audit Log'!$A$5:$A$200)=$E$4)*('Audit Log'!$F$5:$F$200&lt;&gt;"")),""))</f>
        <v/>
      </c>
      <c r="M14" s="67">
        <f>IF($B14="","",IFERROR(SUMPRODUCT(('Audit Log'!$B$5:$B$200=$B14)*ISNUMBER('Audit Log'!$A$5:$A$200)*(MONTH('Audit Log'!$A$5:$A$200)=11)*(YEAR('Audit Log'!$A$5:$A$200)=$E$4)*'Audit Log'!$F$5:$F$200)/SUMPRODUCT(('Audit Log'!$B$5:$B$200=$B14)*ISNUMBER('Audit Log'!$A$5:$A$200)*(MONTH('Audit Log'!$A$5:$A$200)=11)*(YEAR('Audit Log'!$A$5:$A$200)=$E$4)*('Audit Log'!$F$5:$F$200&lt;&gt;"")),""))</f>
        <v/>
      </c>
      <c r="N14" s="67">
        <f>IF($B14="","",IFERROR(SUMPRODUCT(('Audit Log'!$B$5:$B$200=$B14)*ISNUMBER('Audit Log'!$A$5:$A$200)*(MONTH('Audit Log'!$A$5:$A$200)=12)*(YEAR('Audit Log'!$A$5:$A$200)=$E$4)*'Audit Log'!$F$5:$F$200)/SUMPRODUCT(('Audit Log'!$B$5:$B$200=$B14)*ISNUMBER('Audit Log'!$A$5:$A$200)*(MONTH('Audit Log'!$A$5:$A$200)=12)*(YEAR('Audit Log'!$A$5:$A$200)=$E$4)*('Audit Log'!$F$5:$F$200&lt;&gt;"")),""))</f>
        <v/>
      </c>
    </row>
    <row r="15" ht="24" customHeight="1">
      <c r="A15" s="65" t="n">
        <v>3</v>
      </c>
      <c r="B15" s="66" t="n"/>
      <c r="C15" s="67">
        <f>IF($B15="","",IFERROR(SUMPRODUCT(('Audit Log'!$B$5:$B$200=$B15)*ISNUMBER('Audit Log'!$A$5:$A$200)*(MONTH('Audit Log'!$A$5:$A$200)=1)*(YEAR('Audit Log'!$A$5:$A$200)=$E$4)*'Audit Log'!$F$5:$F$200)/SUMPRODUCT(('Audit Log'!$B$5:$B$200=$B15)*ISNUMBER('Audit Log'!$A$5:$A$200)*(MONTH('Audit Log'!$A$5:$A$200)=1)*(YEAR('Audit Log'!$A$5:$A$200)=$E$4)*('Audit Log'!$F$5:$F$200&lt;&gt;"")),""))</f>
        <v/>
      </c>
      <c r="D15" s="67">
        <f>IF($B15="","",IFERROR(SUMPRODUCT(('Audit Log'!$B$5:$B$200=$B15)*ISNUMBER('Audit Log'!$A$5:$A$200)*(MONTH('Audit Log'!$A$5:$A$200)=2)*(YEAR('Audit Log'!$A$5:$A$200)=$E$4)*'Audit Log'!$F$5:$F$200)/SUMPRODUCT(('Audit Log'!$B$5:$B$200=$B15)*ISNUMBER('Audit Log'!$A$5:$A$200)*(MONTH('Audit Log'!$A$5:$A$200)=2)*(YEAR('Audit Log'!$A$5:$A$200)=$E$4)*('Audit Log'!$F$5:$F$200&lt;&gt;"")),""))</f>
        <v/>
      </c>
      <c r="E15" s="67">
        <f>IF($B15="","",IFERROR(SUMPRODUCT(('Audit Log'!$B$5:$B$200=$B15)*ISNUMBER('Audit Log'!$A$5:$A$200)*(MONTH('Audit Log'!$A$5:$A$200)=3)*(YEAR('Audit Log'!$A$5:$A$200)=$E$4)*'Audit Log'!$F$5:$F$200)/SUMPRODUCT(('Audit Log'!$B$5:$B$200=$B15)*ISNUMBER('Audit Log'!$A$5:$A$200)*(MONTH('Audit Log'!$A$5:$A$200)=3)*(YEAR('Audit Log'!$A$5:$A$200)=$E$4)*('Audit Log'!$F$5:$F$200&lt;&gt;"")),""))</f>
        <v/>
      </c>
      <c r="F15" s="67">
        <f>IF($B15="","",IFERROR(SUMPRODUCT(('Audit Log'!$B$5:$B$200=$B15)*ISNUMBER('Audit Log'!$A$5:$A$200)*(MONTH('Audit Log'!$A$5:$A$200)=4)*(YEAR('Audit Log'!$A$5:$A$200)=$E$4)*'Audit Log'!$F$5:$F$200)/SUMPRODUCT(('Audit Log'!$B$5:$B$200=$B15)*ISNUMBER('Audit Log'!$A$5:$A$200)*(MONTH('Audit Log'!$A$5:$A$200)=4)*(YEAR('Audit Log'!$A$5:$A$200)=$E$4)*('Audit Log'!$F$5:$F$200&lt;&gt;"")),""))</f>
        <v/>
      </c>
      <c r="G15" s="67">
        <f>IF($B15="","",IFERROR(SUMPRODUCT(('Audit Log'!$B$5:$B$200=$B15)*ISNUMBER('Audit Log'!$A$5:$A$200)*(MONTH('Audit Log'!$A$5:$A$200)=5)*(YEAR('Audit Log'!$A$5:$A$200)=$E$4)*'Audit Log'!$F$5:$F$200)/SUMPRODUCT(('Audit Log'!$B$5:$B$200=$B15)*ISNUMBER('Audit Log'!$A$5:$A$200)*(MONTH('Audit Log'!$A$5:$A$200)=5)*(YEAR('Audit Log'!$A$5:$A$200)=$E$4)*('Audit Log'!$F$5:$F$200&lt;&gt;"")),""))</f>
        <v/>
      </c>
      <c r="H15" s="67">
        <f>IF($B15="","",IFERROR(SUMPRODUCT(('Audit Log'!$B$5:$B$200=$B15)*ISNUMBER('Audit Log'!$A$5:$A$200)*(MONTH('Audit Log'!$A$5:$A$200)=6)*(YEAR('Audit Log'!$A$5:$A$200)=$E$4)*'Audit Log'!$F$5:$F$200)/SUMPRODUCT(('Audit Log'!$B$5:$B$200=$B15)*ISNUMBER('Audit Log'!$A$5:$A$200)*(MONTH('Audit Log'!$A$5:$A$200)=6)*(YEAR('Audit Log'!$A$5:$A$200)=$E$4)*('Audit Log'!$F$5:$F$200&lt;&gt;"")),""))</f>
        <v/>
      </c>
      <c r="I15" s="67">
        <f>IF($B15="","",IFERROR(SUMPRODUCT(('Audit Log'!$B$5:$B$200=$B15)*ISNUMBER('Audit Log'!$A$5:$A$200)*(MONTH('Audit Log'!$A$5:$A$200)=7)*(YEAR('Audit Log'!$A$5:$A$200)=$E$4)*'Audit Log'!$F$5:$F$200)/SUMPRODUCT(('Audit Log'!$B$5:$B$200=$B15)*ISNUMBER('Audit Log'!$A$5:$A$200)*(MONTH('Audit Log'!$A$5:$A$200)=7)*(YEAR('Audit Log'!$A$5:$A$200)=$E$4)*('Audit Log'!$F$5:$F$200&lt;&gt;"")),""))</f>
        <v/>
      </c>
      <c r="J15" s="67">
        <f>IF($B15="","",IFERROR(SUMPRODUCT(('Audit Log'!$B$5:$B$200=$B15)*ISNUMBER('Audit Log'!$A$5:$A$200)*(MONTH('Audit Log'!$A$5:$A$200)=8)*(YEAR('Audit Log'!$A$5:$A$200)=$E$4)*'Audit Log'!$F$5:$F$200)/SUMPRODUCT(('Audit Log'!$B$5:$B$200=$B15)*ISNUMBER('Audit Log'!$A$5:$A$200)*(MONTH('Audit Log'!$A$5:$A$200)=8)*(YEAR('Audit Log'!$A$5:$A$200)=$E$4)*('Audit Log'!$F$5:$F$200&lt;&gt;"")),""))</f>
        <v/>
      </c>
      <c r="K15" s="67">
        <f>IF($B15="","",IFERROR(SUMPRODUCT(('Audit Log'!$B$5:$B$200=$B15)*ISNUMBER('Audit Log'!$A$5:$A$200)*(MONTH('Audit Log'!$A$5:$A$200)=9)*(YEAR('Audit Log'!$A$5:$A$200)=$E$4)*'Audit Log'!$F$5:$F$200)/SUMPRODUCT(('Audit Log'!$B$5:$B$200=$B15)*ISNUMBER('Audit Log'!$A$5:$A$200)*(MONTH('Audit Log'!$A$5:$A$200)=9)*(YEAR('Audit Log'!$A$5:$A$200)=$E$4)*('Audit Log'!$F$5:$F$200&lt;&gt;"")),""))</f>
        <v/>
      </c>
      <c r="L15" s="67">
        <f>IF($B15="","",IFERROR(SUMPRODUCT(('Audit Log'!$B$5:$B$200=$B15)*ISNUMBER('Audit Log'!$A$5:$A$200)*(MONTH('Audit Log'!$A$5:$A$200)=10)*(YEAR('Audit Log'!$A$5:$A$200)=$E$4)*'Audit Log'!$F$5:$F$200)/SUMPRODUCT(('Audit Log'!$B$5:$B$200=$B15)*ISNUMBER('Audit Log'!$A$5:$A$200)*(MONTH('Audit Log'!$A$5:$A$200)=10)*(YEAR('Audit Log'!$A$5:$A$200)=$E$4)*('Audit Log'!$F$5:$F$200&lt;&gt;"")),""))</f>
        <v/>
      </c>
      <c r="M15" s="67">
        <f>IF($B15="","",IFERROR(SUMPRODUCT(('Audit Log'!$B$5:$B$200=$B15)*ISNUMBER('Audit Log'!$A$5:$A$200)*(MONTH('Audit Log'!$A$5:$A$200)=11)*(YEAR('Audit Log'!$A$5:$A$200)=$E$4)*'Audit Log'!$F$5:$F$200)/SUMPRODUCT(('Audit Log'!$B$5:$B$200=$B15)*ISNUMBER('Audit Log'!$A$5:$A$200)*(MONTH('Audit Log'!$A$5:$A$200)=11)*(YEAR('Audit Log'!$A$5:$A$200)=$E$4)*('Audit Log'!$F$5:$F$200&lt;&gt;"")),""))</f>
        <v/>
      </c>
      <c r="N15" s="67">
        <f>IF($B15="","",IFERROR(SUMPRODUCT(('Audit Log'!$B$5:$B$200=$B15)*ISNUMBER('Audit Log'!$A$5:$A$200)*(MONTH('Audit Log'!$A$5:$A$200)=12)*(YEAR('Audit Log'!$A$5:$A$200)=$E$4)*'Audit Log'!$F$5:$F$200)/SUMPRODUCT(('Audit Log'!$B$5:$B$200=$B15)*ISNUMBER('Audit Log'!$A$5:$A$200)*(MONTH('Audit Log'!$A$5:$A$200)=12)*(YEAR('Audit Log'!$A$5:$A$200)=$E$4)*('Audit Log'!$F$5:$F$200&lt;&gt;"")),""))</f>
        <v/>
      </c>
    </row>
    <row r="16" ht="24" customHeight="1">
      <c r="A16" s="65" t="n">
        <v>4</v>
      </c>
      <c r="B16" s="66" t="n"/>
      <c r="C16" s="67">
        <f>IF($B16="","",IFERROR(SUMPRODUCT(('Audit Log'!$B$5:$B$200=$B16)*ISNUMBER('Audit Log'!$A$5:$A$200)*(MONTH('Audit Log'!$A$5:$A$200)=1)*(YEAR('Audit Log'!$A$5:$A$200)=$E$4)*'Audit Log'!$F$5:$F$200)/SUMPRODUCT(('Audit Log'!$B$5:$B$200=$B16)*ISNUMBER('Audit Log'!$A$5:$A$200)*(MONTH('Audit Log'!$A$5:$A$200)=1)*(YEAR('Audit Log'!$A$5:$A$200)=$E$4)*('Audit Log'!$F$5:$F$200&lt;&gt;"")),""))</f>
        <v/>
      </c>
      <c r="D16" s="67">
        <f>IF($B16="","",IFERROR(SUMPRODUCT(('Audit Log'!$B$5:$B$200=$B16)*ISNUMBER('Audit Log'!$A$5:$A$200)*(MONTH('Audit Log'!$A$5:$A$200)=2)*(YEAR('Audit Log'!$A$5:$A$200)=$E$4)*'Audit Log'!$F$5:$F$200)/SUMPRODUCT(('Audit Log'!$B$5:$B$200=$B16)*ISNUMBER('Audit Log'!$A$5:$A$200)*(MONTH('Audit Log'!$A$5:$A$200)=2)*(YEAR('Audit Log'!$A$5:$A$200)=$E$4)*('Audit Log'!$F$5:$F$200&lt;&gt;"")),""))</f>
        <v/>
      </c>
      <c r="E16" s="67">
        <f>IF($B16="","",IFERROR(SUMPRODUCT(('Audit Log'!$B$5:$B$200=$B16)*ISNUMBER('Audit Log'!$A$5:$A$200)*(MONTH('Audit Log'!$A$5:$A$200)=3)*(YEAR('Audit Log'!$A$5:$A$200)=$E$4)*'Audit Log'!$F$5:$F$200)/SUMPRODUCT(('Audit Log'!$B$5:$B$200=$B16)*ISNUMBER('Audit Log'!$A$5:$A$200)*(MONTH('Audit Log'!$A$5:$A$200)=3)*(YEAR('Audit Log'!$A$5:$A$200)=$E$4)*('Audit Log'!$F$5:$F$200&lt;&gt;"")),""))</f>
        <v/>
      </c>
      <c r="F16" s="67">
        <f>IF($B16="","",IFERROR(SUMPRODUCT(('Audit Log'!$B$5:$B$200=$B16)*ISNUMBER('Audit Log'!$A$5:$A$200)*(MONTH('Audit Log'!$A$5:$A$200)=4)*(YEAR('Audit Log'!$A$5:$A$200)=$E$4)*'Audit Log'!$F$5:$F$200)/SUMPRODUCT(('Audit Log'!$B$5:$B$200=$B16)*ISNUMBER('Audit Log'!$A$5:$A$200)*(MONTH('Audit Log'!$A$5:$A$200)=4)*(YEAR('Audit Log'!$A$5:$A$200)=$E$4)*('Audit Log'!$F$5:$F$200&lt;&gt;"")),""))</f>
        <v/>
      </c>
      <c r="G16" s="67">
        <f>IF($B16="","",IFERROR(SUMPRODUCT(('Audit Log'!$B$5:$B$200=$B16)*ISNUMBER('Audit Log'!$A$5:$A$200)*(MONTH('Audit Log'!$A$5:$A$200)=5)*(YEAR('Audit Log'!$A$5:$A$200)=$E$4)*'Audit Log'!$F$5:$F$200)/SUMPRODUCT(('Audit Log'!$B$5:$B$200=$B16)*ISNUMBER('Audit Log'!$A$5:$A$200)*(MONTH('Audit Log'!$A$5:$A$200)=5)*(YEAR('Audit Log'!$A$5:$A$200)=$E$4)*('Audit Log'!$F$5:$F$200&lt;&gt;"")),""))</f>
        <v/>
      </c>
      <c r="H16" s="67">
        <f>IF($B16="","",IFERROR(SUMPRODUCT(('Audit Log'!$B$5:$B$200=$B16)*ISNUMBER('Audit Log'!$A$5:$A$200)*(MONTH('Audit Log'!$A$5:$A$200)=6)*(YEAR('Audit Log'!$A$5:$A$200)=$E$4)*'Audit Log'!$F$5:$F$200)/SUMPRODUCT(('Audit Log'!$B$5:$B$200=$B16)*ISNUMBER('Audit Log'!$A$5:$A$200)*(MONTH('Audit Log'!$A$5:$A$200)=6)*(YEAR('Audit Log'!$A$5:$A$200)=$E$4)*('Audit Log'!$F$5:$F$200&lt;&gt;"")),""))</f>
        <v/>
      </c>
      <c r="I16" s="67">
        <f>IF($B16="","",IFERROR(SUMPRODUCT(('Audit Log'!$B$5:$B$200=$B16)*ISNUMBER('Audit Log'!$A$5:$A$200)*(MONTH('Audit Log'!$A$5:$A$200)=7)*(YEAR('Audit Log'!$A$5:$A$200)=$E$4)*'Audit Log'!$F$5:$F$200)/SUMPRODUCT(('Audit Log'!$B$5:$B$200=$B16)*ISNUMBER('Audit Log'!$A$5:$A$200)*(MONTH('Audit Log'!$A$5:$A$200)=7)*(YEAR('Audit Log'!$A$5:$A$200)=$E$4)*('Audit Log'!$F$5:$F$200&lt;&gt;"")),""))</f>
        <v/>
      </c>
      <c r="J16" s="67">
        <f>IF($B16="","",IFERROR(SUMPRODUCT(('Audit Log'!$B$5:$B$200=$B16)*ISNUMBER('Audit Log'!$A$5:$A$200)*(MONTH('Audit Log'!$A$5:$A$200)=8)*(YEAR('Audit Log'!$A$5:$A$200)=$E$4)*'Audit Log'!$F$5:$F$200)/SUMPRODUCT(('Audit Log'!$B$5:$B$200=$B16)*ISNUMBER('Audit Log'!$A$5:$A$200)*(MONTH('Audit Log'!$A$5:$A$200)=8)*(YEAR('Audit Log'!$A$5:$A$200)=$E$4)*('Audit Log'!$F$5:$F$200&lt;&gt;"")),""))</f>
        <v/>
      </c>
      <c r="K16" s="67">
        <f>IF($B16="","",IFERROR(SUMPRODUCT(('Audit Log'!$B$5:$B$200=$B16)*ISNUMBER('Audit Log'!$A$5:$A$200)*(MONTH('Audit Log'!$A$5:$A$200)=9)*(YEAR('Audit Log'!$A$5:$A$200)=$E$4)*'Audit Log'!$F$5:$F$200)/SUMPRODUCT(('Audit Log'!$B$5:$B$200=$B16)*ISNUMBER('Audit Log'!$A$5:$A$200)*(MONTH('Audit Log'!$A$5:$A$200)=9)*(YEAR('Audit Log'!$A$5:$A$200)=$E$4)*('Audit Log'!$F$5:$F$200&lt;&gt;"")),""))</f>
        <v/>
      </c>
      <c r="L16" s="67">
        <f>IF($B16="","",IFERROR(SUMPRODUCT(('Audit Log'!$B$5:$B$200=$B16)*ISNUMBER('Audit Log'!$A$5:$A$200)*(MONTH('Audit Log'!$A$5:$A$200)=10)*(YEAR('Audit Log'!$A$5:$A$200)=$E$4)*'Audit Log'!$F$5:$F$200)/SUMPRODUCT(('Audit Log'!$B$5:$B$200=$B16)*ISNUMBER('Audit Log'!$A$5:$A$200)*(MONTH('Audit Log'!$A$5:$A$200)=10)*(YEAR('Audit Log'!$A$5:$A$200)=$E$4)*('Audit Log'!$F$5:$F$200&lt;&gt;"")),""))</f>
        <v/>
      </c>
      <c r="M16" s="67">
        <f>IF($B16="","",IFERROR(SUMPRODUCT(('Audit Log'!$B$5:$B$200=$B16)*ISNUMBER('Audit Log'!$A$5:$A$200)*(MONTH('Audit Log'!$A$5:$A$200)=11)*(YEAR('Audit Log'!$A$5:$A$200)=$E$4)*'Audit Log'!$F$5:$F$200)/SUMPRODUCT(('Audit Log'!$B$5:$B$200=$B16)*ISNUMBER('Audit Log'!$A$5:$A$200)*(MONTH('Audit Log'!$A$5:$A$200)=11)*(YEAR('Audit Log'!$A$5:$A$200)=$E$4)*('Audit Log'!$F$5:$F$200&lt;&gt;"")),""))</f>
        <v/>
      </c>
      <c r="N16" s="67">
        <f>IF($B16="","",IFERROR(SUMPRODUCT(('Audit Log'!$B$5:$B$200=$B16)*ISNUMBER('Audit Log'!$A$5:$A$200)*(MONTH('Audit Log'!$A$5:$A$200)=12)*(YEAR('Audit Log'!$A$5:$A$200)=$E$4)*'Audit Log'!$F$5:$F$200)/SUMPRODUCT(('Audit Log'!$B$5:$B$200=$B16)*ISNUMBER('Audit Log'!$A$5:$A$200)*(MONTH('Audit Log'!$A$5:$A$200)=12)*(YEAR('Audit Log'!$A$5:$A$200)=$E$4)*('Audit Log'!$F$5:$F$200&lt;&gt;"")),""))</f>
        <v/>
      </c>
    </row>
    <row r="17" ht="24" customHeight="1">
      <c r="A17" s="65" t="n">
        <v>5</v>
      </c>
      <c r="B17" s="66" t="n"/>
      <c r="C17" s="67">
        <f>IF($B17="","",IFERROR(SUMPRODUCT(('Audit Log'!$B$5:$B$200=$B17)*ISNUMBER('Audit Log'!$A$5:$A$200)*(MONTH('Audit Log'!$A$5:$A$200)=1)*(YEAR('Audit Log'!$A$5:$A$200)=$E$4)*'Audit Log'!$F$5:$F$200)/SUMPRODUCT(('Audit Log'!$B$5:$B$200=$B17)*ISNUMBER('Audit Log'!$A$5:$A$200)*(MONTH('Audit Log'!$A$5:$A$200)=1)*(YEAR('Audit Log'!$A$5:$A$200)=$E$4)*('Audit Log'!$F$5:$F$200&lt;&gt;"")),""))</f>
        <v/>
      </c>
      <c r="D17" s="67">
        <f>IF($B17="","",IFERROR(SUMPRODUCT(('Audit Log'!$B$5:$B$200=$B17)*ISNUMBER('Audit Log'!$A$5:$A$200)*(MONTH('Audit Log'!$A$5:$A$200)=2)*(YEAR('Audit Log'!$A$5:$A$200)=$E$4)*'Audit Log'!$F$5:$F$200)/SUMPRODUCT(('Audit Log'!$B$5:$B$200=$B17)*ISNUMBER('Audit Log'!$A$5:$A$200)*(MONTH('Audit Log'!$A$5:$A$200)=2)*(YEAR('Audit Log'!$A$5:$A$200)=$E$4)*('Audit Log'!$F$5:$F$200&lt;&gt;"")),""))</f>
        <v/>
      </c>
      <c r="E17" s="67">
        <f>IF($B17="","",IFERROR(SUMPRODUCT(('Audit Log'!$B$5:$B$200=$B17)*ISNUMBER('Audit Log'!$A$5:$A$200)*(MONTH('Audit Log'!$A$5:$A$200)=3)*(YEAR('Audit Log'!$A$5:$A$200)=$E$4)*'Audit Log'!$F$5:$F$200)/SUMPRODUCT(('Audit Log'!$B$5:$B$200=$B17)*ISNUMBER('Audit Log'!$A$5:$A$200)*(MONTH('Audit Log'!$A$5:$A$200)=3)*(YEAR('Audit Log'!$A$5:$A$200)=$E$4)*('Audit Log'!$F$5:$F$200&lt;&gt;"")),""))</f>
        <v/>
      </c>
      <c r="F17" s="67">
        <f>IF($B17="","",IFERROR(SUMPRODUCT(('Audit Log'!$B$5:$B$200=$B17)*ISNUMBER('Audit Log'!$A$5:$A$200)*(MONTH('Audit Log'!$A$5:$A$200)=4)*(YEAR('Audit Log'!$A$5:$A$200)=$E$4)*'Audit Log'!$F$5:$F$200)/SUMPRODUCT(('Audit Log'!$B$5:$B$200=$B17)*ISNUMBER('Audit Log'!$A$5:$A$200)*(MONTH('Audit Log'!$A$5:$A$200)=4)*(YEAR('Audit Log'!$A$5:$A$200)=$E$4)*('Audit Log'!$F$5:$F$200&lt;&gt;"")),""))</f>
        <v/>
      </c>
      <c r="G17" s="67">
        <f>IF($B17="","",IFERROR(SUMPRODUCT(('Audit Log'!$B$5:$B$200=$B17)*ISNUMBER('Audit Log'!$A$5:$A$200)*(MONTH('Audit Log'!$A$5:$A$200)=5)*(YEAR('Audit Log'!$A$5:$A$200)=$E$4)*'Audit Log'!$F$5:$F$200)/SUMPRODUCT(('Audit Log'!$B$5:$B$200=$B17)*ISNUMBER('Audit Log'!$A$5:$A$200)*(MONTH('Audit Log'!$A$5:$A$200)=5)*(YEAR('Audit Log'!$A$5:$A$200)=$E$4)*('Audit Log'!$F$5:$F$200&lt;&gt;"")),""))</f>
        <v/>
      </c>
      <c r="H17" s="67">
        <f>IF($B17="","",IFERROR(SUMPRODUCT(('Audit Log'!$B$5:$B$200=$B17)*ISNUMBER('Audit Log'!$A$5:$A$200)*(MONTH('Audit Log'!$A$5:$A$200)=6)*(YEAR('Audit Log'!$A$5:$A$200)=$E$4)*'Audit Log'!$F$5:$F$200)/SUMPRODUCT(('Audit Log'!$B$5:$B$200=$B17)*ISNUMBER('Audit Log'!$A$5:$A$200)*(MONTH('Audit Log'!$A$5:$A$200)=6)*(YEAR('Audit Log'!$A$5:$A$200)=$E$4)*('Audit Log'!$F$5:$F$200&lt;&gt;"")),""))</f>
        <v/>
      </c>
      <c r="I17" s="67">
        <f>IF($B17="","",IFERROR(SUMPRODUCT(('Audit Log'!$B$5:$B$200=$B17)*ISNUMBER('Audit Log'!$A$5:$A$200)*(MONTH('Audit Log'!$A$5:$A$200)=7)*(YEAR('Audit Log'!$A$5:$A$200)=$E$4)*'Audit Log'!$F$5:$F$200)/SUMPRODUCT(('Audit Log'!$B$5:$B$200=$B17)*ISNUMBER('Audit Log'!$A$5:$A$200)*(MONTH('Audit Log'!$A$5:$A$200)=7)*(YEAR('Audit Log'!$A$5:$A$200)=$E$4)*('Audit Log'!$F$5:$F$200&lt;&gt;"")),""))</f>
        <v/>
      </c>
      <c r="J17" s="67">
        <f>IF($B17="","",IFERROR(SUMPRODUCT(('Audit Log'!$B$5:$B$200=$B17)*ISNUMBER('Audit Log'!$A$5:$A$200)*(MONTH('Audit Log'!$A$5:$A$200)=8)*(YEAR('Audit Log'!$A$5:$A$200)=$E$4)*'Audit Log'!$F$5:$F$200)/SUMPRODUCT(('Audit Log'!$B$5:$B$200=$B17)*ISNUMBER('Audit Log'!$A$5:$A$200)*(MONTH('Audit Log'!$A$5:$A$200)=8)*(YEAR('Audit Log'!$A$5:$A$200)=$E$4)*('Audit Log'!$F$5:$F$200&lt;&gt;"")),""))</f>
        <v/>
      </c>
      <c r="K17" s="67">
        <f>IF($B17="","",IFERROR(SUMPRODUCT(('Audit Log'!$B$5:$B$200=$B17)*ISNUMBER('Audit Log'!$A$5:$A$200)*(MONTH('Audit Log'!$A$5:$A$200)=9)*(YEAR('Audit Log'!$A$5:$A$200)=$E$4)*'Audit Log'!$F$5:$F$200)/SUMPRODUCT(('Audit Log'!$B$5:$B$200=$B17)*ISNUMBER('Audit Log'!$A$5:$A$200)*(MONTH('Audit Log'!$A$5:$A$200)=9)*(YEAR('Audit Log'!$A$5:$A$200)=$E$4)*('Audit Log'!$F$5:$F$200&lt;&gt;"")),""))</f>
        <v/>
      </c>
      <c r="L17" s="67">
        <f>IF($B17="","",IFERROR(SUMPRODUCT(('Audit Log'!$B$5:$B$200=$B17)*ISNUMBER('Audit Log'!$A$5:$A$200)*(MONTH('Audit Log'!$A$5:$A$200)=10)*(YEAR('Audit Log'!$A$5:$A$200)=$E$4)*'Audit Log'!$F$5:$F$200)/SUMPRODUCT(('Audit Log'!$B$5:$B$200=$B17)*ISNUMBER('Audit Log'!$A$5:$A$200)*(MONTH('Audit Log'!$A$5:$A$200)=10)*(YEAR('Audit Log'!$A$5:$A$200)=$E$4)*('Audit Log'!$F$5:$F$200&lt;&gt;"")),""))</f>
        <v/>
      </c>
      <c r="M17" s="67">
        <f>IF($B17="","",IFERROR(SUMPRODUCT(('Audit Log'!$B$5:$B$200=$B17)*ISNUMBER('Audit Log'!$A$5:$A$200)*(MONTH('Audit Log'!$A$5:$A$200)=11)*(YEAR('Audit Log'!$A$5:$A$200)=$E$4)*'Audit Log'!$F$5:$F$200)/SUMPRODUCT(('Audit Log'!$B$5:$B$200=$B17)*ISNUMBER('Audit Log'!$A$5:$A$200)*(MONTH('Audit Log'!$A$5:$A$200)=11)*(YEAR('Audit Log'!$A$5:$A$200)=$E$4)*('Audit Log'!$F$5:$F$200&lt;&gt;"")),""))</f>
        <v/>
      </c>
      <c r="N17" s="67">
        <f>IF($B17="","",IFERROR(SUMPRODUCT(('Audit Log'!$B$5:$B$200=$B17)*ISNUMBER('Audit Log'!$A$5:$A$200)*(MONTH('Audit Log'!$A$5:$A$200)=12)*(YEAR('Audit Log'!$A$5:$A$200)=$E$4)*'Audit Log'!$F$5:$F$200)/SUMPRODUCT(('Audit Log'!$B$5:$B$200=$B17)*ISNUMBER('Audit Log'!$A$5:$A$200)*(MONTH('Audit Log'!$A$5:$A$200)=12)*(YEAR('Audit Log'!$A$5:$A$200)=$E$4)*('Audit Log'!$F$5:$F$200&lt;&gt;"")),""))</f>
        <v/>
      </c>
    </row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</sheetData>
  <mergeCells count="12">
    <mergeCell ref="D6:E6"/>
    <mergeCell ref="B6:C6"/>
    <mergeCell ref="A1:J1"/>
    <mergeCell ref="H6:I6"/>
    <mergeCell ref="A10:N10"/>
    <mergeCell ref="D7:E8"/>
    <mergeCell ref="B7:C8"/>
    <mergeCell ref="H7:I8"/>
    <mergeCell ref="F7:G8"/>
    <mergeCell ref="F6:G6"/>
    <mergeCell ref="A11:N11"/>
    <mergeCell ref="A2:J2"/>
  </mergeCells>
  <conditionalFormatting sqref="C13:N17">
    <cfRule type="cellIs" priority="1" operator="greaterThanOrEqual" dxfId="0">
      <formula>0.9</formula>
    </cfRule>
    <cfRule type="cellIs" priority="2" operator="between" dxfId="1">
      <formula>0.8</formula>
      <formula>0.8999</formula>
    </cfRule>
    <cfRule type="cellIs" priority="3" operator="between" dxfId="2">
      <formula>0.0001</formula>
      <formula>0.7999</formula>
    </cfRule>
  </conditionalFormatting>
  <dataValidations count="1">
    <dataValidation sqref="C4" showDropDown="0" showInputMessage="0" showErrorMessage="0" allowBlank="0" type="list">
      <formula1>"Q1,Q2,Q3,Q4"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2026-07-13T11:42:51Z</dcterms:created>
  <dcterms:modified xmlns:dcterms="http://purl.org/dc/terms/" xmlns:xsi="http://www.w3.org/2001/XMLSchema-instance" xsi:type="dcterms:W3CDTF">2026-07-15T16:02:34Z</dcterms:modified>
</cp:coreProperties>
</file>