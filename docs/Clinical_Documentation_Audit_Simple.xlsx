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Checklist" sheetId="1" state="visible" r:id="rId1"/>
    <sheet xmlns:r="http://schemas.openxmlformats.org/officeDocument/2006/relationships" name="Provider Metrics" sheetId="2" state="visible" r:id="rId2"/>
    <sheet xmlns:r="http://schemas.openxmlformats.org/officeDocument/2006/relationships" name="Claim 01" sheetId="3" state="visible" r:id="rId3"/>
    <sheet xmlns:r="http://schemas.openxmlformats.org/officeDocument/2006/relationships" name="Claim 02" sheetId="4" state="visible" r:id="rId4"/>
    <sheet xmlns:r="http://schemas.openxmlformats.org/officeDocument/2006/relationships" name="Claim 03" sheetId="5" state="visible" r:id="rId5"/>
    <sheet xmlns:r="http://schemas.openxmlformats.org/officeDocument/2006/relationships" name="Claim 04" sheetId="6" state="visible" r:id="rId6"/>
    <sheet xmlns:r="http://schemas.openxmlformats.org/officeDocument/2006/relationships" name="Claim 05" sheetId="7" state="visible" r:id="rId7"/>
    <sheet xmlns:r="http://schemas.openxmlformats.org/officeDocument/2006/relationships" name="Claim 06" sheetId="8" state="visible" r:id="rId8"/>
    <sheet xmlns:r="http://schemas.openxmlformats.org/officeDocument/2006/relationships" name="Claim 07" sheetId="9" state="visible" r:id="rId9"/>
    <sheet xmlns:r="http://schemas.openxmlformats.org/officeDocument/2006/relationships" name="Claim 08" sheetId="10" state="visible" r:id="rId10"/>
    <sheet xmlns:r="http://schemas.openxmlformats.org/officeDocument/2006/relationships" name="Claim 09" sheetId="11" state="visible" r:id="rId11"/>
    <sheet xmlns:r="http://schemas.openxmlformats.org/officeDocument/2006/relationships" name="Claim 10" sheetId="12" state="visible" r:id="rId12"/>
    <sheet xmlns:r="http://schemas.openxmlformats.org/officeDocument/2006/relationships" name="Audit Log" sheetId="13" state="visible" r:id="rId13"/>
    <sheet xmlns:r="http://schemas.openxmlformats.org/officeDocument/2006/relationships" name="Quick Reference" sheetId="14" state="visible" r:id="rId14"/>
    <sheet xmlns:r="http://schemas.openxmlformats.org/officeDocument/2006/relationships" name="Quarterly Repor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  <font/>
    <font>
      <name val="Calibri"/>
      <b val="1"/>
      <color rgb="000B5555"/>
      <sz val="10"/>
    </font>
    <font>
      <b val="1"/>
      <color rgb="00FFFFFF"/>
      <sz val="14"/>
    </font>
    <font>
      <name val="Calibri"/>
      <b val="1"/>
      <color rgb="000F172A"/>
      <sz val="20"/>
    </font>
    <font>
      <name val="Calibri"/>
      <b val="1"/>
      <color rgb="000F172A"/>
      <sz val="14"/>
    </font>
  </fonts>
  <fills count="1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  <fill>
      <patternFill patternType="solid">
        <fgColor rgb="00FEF3C7"/>
      </patternFill>
    </fill>
  </fills>
  <borders count="1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  <xf numFmtId="0" fontId="24" fillId="0" borderId="2" pivotButton="0" quotePrefix="0" xfId="0"/>
    <xf numFmtId="0" fontId="17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wrapText="1" indent="1"/>
    </xf>
    <xf numFmtId="0" fontId="25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164" fontId="14" fillId="0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15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left" vertical="center" wrapText="1" indent="1"/>
    </xf>
    <xf numFmtId="0" fontId="13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 indent="1"/>
    </xf>
    <xf numFmtId="164" fontId="13" fillId="0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indent="1"/>
    </xf>
    <xf numFmtId="0" fontId="23" fillId="14" borderId="0" applyAlignment="1" pivotButton="0" quotePrefix="0" xfId="0">
      <alignment horizontal="left" vertical="center" wrapText="1" indent="1"/>
    </xf>
    <xf numFmtId="0" fontId="21" fillId="5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26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 wrapText="1"/>
    </xf>
    <xf numFmtId="1" fontId="9" fillId="10" borderId="1" applyAlignment="1" pivotButton="0" quotePrefix="0" xfId="0">
      <alignment horizontal="center" vertical="center" wrapText="1"/>
    </xf>
    <xf numFmtId="164" fontId="9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wrapText="1" indent="1"/>
    </xf>
    <xf numFmtId="0" fontId="27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164" fontId="27" fillId="10" borderId="1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 indent="1"/>
    </xf>
    <xf numFmtId="165" fontId="6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0" fontId="3" fillId="7" borderId="1" applyAlignment="1" pivotButton="0" quotePrefix="0" xfId="0">
      <alignment horizontal="left" vertical="center" wrapText="1" inden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 indent="1"/>
    </xf>
    <xf numFmtId="0" fontId="0" fillId="8" borderId="1" pivotButton="0" quotePrefix="0" xfId="0"/>
    <xf numFmtId="0" fontId="3" fillId="9" borderId="1" applyAlignment="1" pivotButton="0" quotePrefix="0" xfId="0">
      <alignment horizontal="left" vertical="center" wrapText="1" indent="1"/>
    </xf>
    <xf numFmtId="0" fontId="0" fillId="9" borderId="1" pivotButton="0" quotePrefix="0" xfId="0"/>
    <xf numFmtId="0" fontId="0" fillId="0" borderId="7" pivotButton="0" quotePrefix="0" xfId="0"/>
    <xf numFmtId="0" fontId="0" fillId="0" borderId="14" pivotButton="0" quotePrefix="0" xfId="0"/>
    <xf numFmtId="165" fontId="6" fillId="4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Provider Compliance %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Report'!B12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Report'!$C$12:$N$12</f>
            </numRef>
          </val>
        </ser>
        <ser>
          <idx val="1"/>
          <order val="1"/>
          <tx>
            <strRef>
              <f>'Quarterly Report'!B13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Report'!$C$13:$N$13</f>
            </numRef>
          </val>
        </ser>
        <ser>
          <idx val="2"/>
          <order val="2"/>
          <tx>
            <strRef>
              <f>'Quarterly Report'!B14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Report'!$C$14:$N$14</f>
            </numRef>
          </val>
        </ser>
        <ser>
          <idx val="3"/>
          <order val="3"/>
          <tx>
            <strRef>
              <f>'Quarterly Report'!B15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Report'!$C$15:$N$15</f>
            </numRef>
          </val>
        </ser>
        <ser>
          <idx val="4"/>
          <order val="4"/>
          <tx>
            <strRef>
              <f>'Quarterly Report'!B16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Report'!$C$16:$N$16</f>
            </numRef>
          </val>
        </ser>
        <ser>
          <idx val="5"/>
          <order val="5"/>
          <tx>
            <strRef>
              <f>'Quarterly Report'!B17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Report'!$C$17:$N$17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Compliance %</a:t>
                </a:r>
              </a:p>
            </rich>
          </tx>
        </title>
        <numFmt formatCode="0%" sourceLinked="0"/>
        <majorTickMark val="none"/>
        <minorTickMark val="none"/>
        <crossAx val="10"/>
        <majorUnit val="0.0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I52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8" customWidth="1" min="4" max="4"/>
    <col width="14" customWidth="1" min="5" max="5"/>
    <col width="22" customWidth="1" min="6" max="6"/>
  </cols>
  <sheetData>
    <row r="1" ht="40" customHeight="1">
      <c r="A1" s="68" t="inlineStr">
        <is>
          <t>Provider Metrics — Rollup Across the 10 Claim Tabs</t>
        </is>
      </c>
    </row>
    <row r="2" ht="26" customHeight="1">
      <c r="A2" s="69" t="inlineStr">
        <is>
          <t>Live rollup of the current provider's 10 claims. As you fill each Claim tab, this tab shows the running provider average, distribution across bands, and overall Performance Band.</t>
        </is>
      </c>
    </row>
    <row r="3" ht="8" customHeight="1"/>
    <row r="4" ht="30" customHeight="1">
      <c r="B4" s="3" t="inlineStr">
        <is>
          <t>Provider (from Claim 01)</t>
        </is>
      </c>
      <c r="C4" s="54" t="n"/>
      <c r="D4" s="88">
        <f>'Claim 01'!B4</f>
        <v/>
      </c>
      <c r="E4" s="53" t="n"/>
      <c r="F4" s="54" t="n"/>
    </row>
    <row r="6" ht="24" customHeight="1">
      <c r="A6" s="92" t="inlineStr">
        <is>
          <t>Claims completed</t>
        </is>
      </c>
      <c r="B6" s="53" t="n"/>
      <c r="C6" s="54" t="n"/>
      <c r="D6" s="92" t="inlineStr">
        <is>
          <t>Average compliance %</t>
        </is>
      </c>
      <c r="E6" s="53" t="n"/>
      <c r="F6" s="54" t="n"/>
    </row>
    <row r="7" ht="34" customHeight="1">
      <c r="A7" s="93">
        <f>COUNT('Claim 01:Claim 10'!D44)</f>
        <v/>
      </c>
      <c r="B7" s="107" t="n"/>
      <c r="C7" s="59" t="n"/>
      <c r="D7" s="95">
        <f>IFERROR(AVERAGE('Claim 01:Claim 10'!D44),"")</f>
        <v/>
      </c>
      <c r="E7" s="107" t="n"/>
      <c r="F7" s="59" t="n"/>
    </row>
    <row r="8" ht="34" customHeight="1">
      <c r="A8" s="60" t="n"/>
      <c r="B8" s="108" t="n"/>
      <c r="C8" s="61" t="n"/>
      <c r="D8" s="60" t="n"/>
      <c r="E8" s="108" t="n"/>
      <c r="F8" s="61" t="n"/>
    </row>
    <row r="10" ht="24" customHeight="1">
      <c r="A10" s="92" t="inlineStr">
        <is>
          <t>Meeting Expectations (≥90%)</t>
        </is>
      </c>
      <c r="B10" s="53" t="n"/>
      <c r="C10" s="54" t="n"/>
      <c r="D10" s="92" t="inlineStr">
        <is>
          <t>Corrective Required (&lt;80%)</t>
        </is>
      </c>
      <c r="E10" s="53" t="n"/>
      <c r="F10" s="54" t="n"/>
    </row>
    <row r="11" ht="34" customHeight="1">
      <c r="A11" s="93">
        <f>COUNTIFS(E17:E26,"&gt;=0.9",E17:E26,"&lt;&gt;")</f>
        <v/>
      </c>
      <c r="B11" s="107" t="n"/>
      <c r="C11" s="59" t="n"/>
      <c r="D11" s="93">
        <f>COUNTIFS(E17:E26,"&lt;0.8",E17:E26,"&gt;0")</f>
        <v/>
      </c>
      <c r="E11" s="107" t="n"/>
      <c r="F11" s="59" t="n"/>
    </row>
    <row r="12" ht="34" customHeight="1">
      <c r="A12" s="60" t="n"/>
      <c r="B12" s="108" t="n"/>
      <c r="C12" s="61" t="n"/>
      <c r="D12" s="60" t="n"/>
      <c r="E12" s="108" t="n"/>
      <c r="F12" s="61" t="n"/>
    </row>
    <row r="14" ht="12" customHeight="1"/>
    <row r="15" ht="26" customHeight="1">
      <c r="A15" s="96" t="inlineStr">
        <is>
          <t xml:space="preserve">  Per-Claim Breakdown</t>
        </is>
      </c>
    </row>
    <row r="16" ht="24" customHeight="1">
      <c r="A16" s="6" t="inlineStr">
        <is>
          <t>#</t>
        </is>
      </c>
      <c r="B16" s="6" t="inlineStr">
        <is>
          <t>Provider</t>
        </is>
      </c>
      <c r="C16" s="6" t="inlineStr">
        <is>
          <t>Claim #</t>
        </is>
      </c>
      <c r="D16" s="6" t="inlineStr">
        <is>
          <t>DOS</t>
        </is>
      </c>
      <c r="E16" s="6" t="inlineStr">
        <is>
          <t>Compliance %</t>
        </is>
      </c>
      <c r="F16" s="6" t="inlineStr">
        <is>
          <t>Rating</t>
        </is>
      </c>
    </row>
    <row r="17" ht="22" customHeight="1">
      <c r="A17" s="9" t="n">
        <v>1</v>
      </c>
      <c r="B17" s="10">
        <f>'Claim 01'!B4</f>
        <v/>
      </c>
      <c r="C17" s="9">
        <f>'Claim 01'!B5</f>
        <v/>
      </c>
      <c r="D17" s="97">
        <f>'Claim 01'!D4</f>
        <v/>
      </c>
      <c r="E17" s="12">
        <f>IFERROR('Claim 01'!D44,"")</f>
        <v/>
      </c>
      <c r="F17" s="9">
        <f>IFERROR('Claim 01'!D45,"")</f>
        <v/>
      </c>
    </row>
    <row r="18" ht="22" customHeight="1">
      <c r="A18" s="9" t="n">
        <v>2</v>
      </c>
      <c r="B18" s="10">
        <f>'Claim 02'!B4</f>
        <v/>
      </c>
      <c r="C18" s="9">
        <f>'Claim 02'!B5</f>
        <v/>
      </c>
      <c r="D18" s="97">
        <f>'Claim 02'!D4</f>
        <v/>
      </c>
      <c r="E18" s="12">
        <f>IFERROR('Claim 02'!D44,"")</f>
        <v/>
      </c>
      <c r="F18" s="9">
        <f>IFERROR('Claim 02'!D45,"")</f>
        <v/>
      </c>
    </row>
    <row r="19" ht="22" customHeight="1">
      <c r="A19" s="9" t="n">
        <v>3</v>
      </c>
      <c r="B19" s="10">
        <f>'Claim 03'!B4</f>
        <v/>
      </c>
      <c r="C19" s="9">
        <f>'Claim 03'!B5</f>
        <v/>
      </c>
      <c r="D19" s="97">
        <f>'Claim 03'!D4</f>
        <v/>
      </c>
      <c r="E19" s="12">
        <f>IFERROR('Claim 03'!D44,"")</f>
        <v/>
      </c>
      <c r="F19" s="9">
        <f>IFERROR('Claim 03'!D45,"")</f>
        <v/>
      </c>
    </row>
    <row r="20" ht="22" customHeight="1">
      <c r="A20" s="9" t="n">
        <v>4</v>
      </c>
      <c r="B20" s="10">
        <f>'Claim 04'!B4</f>
        <v/>
      </c>
      <c r="C20" s="9">
        <f>'Claim 04'!B5</f>
        <v/>
      </c>
      <c r="D20" s="97">
        <f>'Claim 04'!D4</f>
        <v/>
      </c>
      <c r="E20" s="12">
        <f>IFERROR('Claim 04'!D44,"")</f>
        <v/>
      </c>
      <c r="F20" s="9">
        <f>IFERROR('Claim 04'!D45,"")</f>
        <v/>
      </c>
    </row>
    <row r="21" ht="22" customHeight="1">
      <c r="A21" s="9" t="n">
        <v>5</v>
      </c>
      <c r="B21" s="10">
        <f>'Claim 05'!B4</f>
        <v/>
      </c>
      <c r="C21" s="9">
        <f>'Claim 05'!B5</f>
        <v/>
      </c>
      <c r="D21" s="97">
        <f>'Claim 05'!D4</f>
        <v/>
      </c>
      <c r="E21" s="12">
        <f>IFERROR('Claim 05'!D44,"")</f>
        <v/>
      </c>
      <c r="F21" s="9">
        <f>IFERROR('Claim 05'!D45,"")</f>
        <v/>
      </c>
    </row>
    <row r="22" ht="22" customHeight="1">
      <c r="A22" s="9" t="n">
        <v>6</v>
      </c>
      <c r="B22" s="10">
        <f>'Claim 06'!B4</f>
        <v/>
      </c>
      <c r="C22" s="9">
        <f>'Claim 06'!B5</f>
        <v/>
      </c>
      <c r="D22" s="97">
        <f>'Claim 06'!D4</f>
        <v/>
      </c>
      <c r="E22" s="12">
        <f>IFERROR('Claim 06'!D44,"")</f>
        <v/>
      </c>
      <c r="F22" s="9">
        <f>IFERROR('Claim 06'!D45,"")</f>
        <v/>
      </c>
    </row>
    <row r="23" ht="22" customHeight="1">
      <c r="A23" s="9" t="n">
        <v>7</v>
      </c>
      <c r="B23" s="10">
        <f>'Claim 07'!B4</f>
        <v/>
      </c>
      <c r="C23" s="9">
        <f>'Claim 07'!B5</f>
        <v/>
      </c>
      <c r="D23" s="97">
        <f>'Claim 07'!D4</f>
        <v/>
      </c>
      <c r="E23" s="12">
        <f>IFERROR('Claim 07'!D44,"")</f>
        <v/>
      </c>
      <c r="F23" s="9">
        <f>IFERROR('Claim 07'!D45,"")</f>
        <v/>
      </c>
    </row>
    <row r="24" ht="22" customHeight="1">
      <c r="A24" s="9" t="n">
        <v>8</v>
      </c>
      <c r="B24" s="10">
        <f>'Claim 08'!B4</f>
        <v/>
      </c>
      <c r="C24" s="9">
        <f>'Claim 08'!B5</f>
        <v/>
      </c>
      <c r="D24" s="97">
        <f>'Claim 08'!D4</f>
        <v/>
      </c>
      <c r="E24" s="12">
        <f>IFERROR('Claim 08'!D44,"")</f>
        <v/>
      </c>
      <c r="F24" s="9">
        <f>IFERROR('Claim 08'!D45,"")</f>
        <v/>
      </c>
    </row>
    <row r="25" ht="22" customHeight="1">
      <c r="A25" s="9" t="n">
        <v>9</v>
      </c>
      <c r="B25" s="10">
        <f>'Claim 09'!B4</f>
        <v/>
      </c>
      <c r="C25" s="9">
        <f>'Claim 09'!B5</f>
        <v/>
      </c>
      <c r="D25" s="97">
        <f>'Claim 09'!D4</f>
        <v/>
      </c>
      <c r="E25" s="12">
        <f>IFERROR('Claim 09'!D44,"")</f>
        <v/>
      </c>
      <c r="F25" s="9">
        <f>IFERROR('Claim 09'!D45,"")</f>
        <v/>
      </c>
    </row>
    <row r="26" ht="22" customHeight="1">
      <c r="A26" s="9" t="n">
        <v>10</v>
      </c>
      <c r="B26" s="10">
        <f>'Claim 10'!B4</f>
        <v/>
      </c>
      <c r="C26" s="9">
        <f>'Claim 10'!B5</f>
        <v/>
      </c>
      <c r="D26" s="97">
        <f>'Claim 10'!D4</f>
        <v/>
      </c>
      <c r="E26" s="12">
        <f>IFERROR('Claim 10'!D44,"")</f>
        <v/>
      </c>
      <c r="F26" s="9">
        <f>IFERROR('Claim 10'!D45,"")</f>
        <v/>
      </c>
    </row>
    <row r="28" ht="36" customHeight="1">
      <c r="A28" s="13" t="inlineStr">
        <is>
          <t xml:space="preserve">  OVERALL PROVIDER PERFORMANCE BAND</t>
        </is>
      </c>
      <c r="B28" s="53" t="n"/>
      <c r="C28" s="53" t="n"/>
      <c r="D28" s="54" t="n"/>
      <c r="E28" s="98">
        <f>IF(D7="","",IF(D7&gt;=0.95,"Excellent",IF(D7&gt;=0.9,"Meets Expectations",IF(D7&gt;=0.8,"Needs Improvement","Corrective Education Required"))))</f>
        <v/>
      </c>
      <c r="F28" s="54" t="n"/>
    </row>
    <row r="30" ht="26" customHeight="1">
      <c r="A30" s="96" t="inlineStr">
        <is>
          <t xml:space="preserve">  Band Distribution (10 claims)</t>
        </is>
      </c>
    </row>
    <row r="31" ht="22" customHeight="1">
      <c r="A31" s="71" t="inlineStr">
        <is>
          <t>Band</t>
        </is>
      </c>
      <c r="B31" s="53" t="n"/>
      <c r="C31" s="53" t="n"/>
      <c r="D31" s="53" t="n"/>
      <c r="E31" s="54" t="n"/>
      <c r="F31" s="6" t="inlineStr">
        <is>
          <t>Count</t>
        </is>
      </c>
    </row>
    <row r="32" ht="24" customHeight="1">
      <c r="A32" s="99" t="inlineStr">
        <is>
          <t>Excellent</t>
        </is>
      </c>
      <c r="B32" s="53" t="n"/>
      <c r="C32" s="53" t="n"/>
      <c r="D32" s="53" t="n"/>
      <c r="E32" s="54" t="n"/>
      <c r="F32" s="18">
        <f>COUNTIF(F17:F26,"Excellent")</f>
        <v/>
      </c>
    </row>
    <row r="33" ht="24" customHeight="1">
      <c r="A33" s="101" t="inlineStr">
        <is>
          <t>Meets Expectations</t>
        </is>
      </c>
      <c r="B33" s="53" t="n"/>
      <c r="C33" s="53" t="n"/>
      <c r="D33" s="53" t="n"/>
      <c r="E33" s="54" t="n"/>
      <c r="F33" s="18">
        <f>COUNTIF(F17:F26,"Meets Expectations")</f>
        <v/>
      </c>
    </row>
    <row r="34" ht="24" customHeight="1">
      <c r="A34" s="103" t="inlineStr">
        <is>
          <t>Needs Improvement</t>
        </is>
      </c>
      <c r="B34" s="53" t="n"/>
      <c r="C34" s="53" t="n"/>
      <c r="D34" s="53" t="n"/>
      <c r="E34" s="54" t="n"/>
      <c r="F34" s="18">
        <f>COUNTIF(F17:F26,"Needs Improvement")</f>
        <v/>
      </c>
    </row>
    <row r="35" ht="24" customHeight="1">
      <c r="A35" s="105" t="inlineStr">
        <is>
          <t>Corrective Education Required</t>
        </is>
      </c>
      <c r="B35" s="53" t="n"/>
      <c r="C35" s="53" t="n"/>
      <c r="D35" s="53" t="n"/>
      <c r="E35" s="54" t="n"/>
      <c r="F35" s="18">
        <f>COUNTIF(F17:F26,"Corrective Education Required")</f>
        <v/>
      </c>
    </row>
  </sheetData>
  <mergeCells count="21">
    <mergeCell ref="A34:E34"/>
    <mergeCell ref="A28:D28"/>
    <mergeCell ref="A2:F2"/>
    <mergeCell ref="A11:C12"/>
    <mergeCell ref="D4:F4"/>
    <mergeCell ref="E28:F28"/>
    <mergeCell ref="A7:C8"/>
    <mergeCell ref="A10:C10"/>
    <mergeCell ref="D11:F12"/>
    <mergeCell ref="A33:E33"/>
    <mergeCell ref="A32:E32"/>
    <mergeCell ref="A30:F30"/>
    <mergeCell ref="D7:F8"/>
    <mergeCell ref="A15:F15"/>
    <mergeCell ref="D10:F10"/>
    <mergeCell ref="A35:E35"/>
    <mergeCell ref="A1:F1"/>
    <mergeCell ref="A6:C6"/>
    <mergeCell ref="A31:E31"/>
    <mergeCell ref="D6:F6"/>
    <mergeCell ref="B4:C4"/>
  </mergeCells>
  <conditionalFormatting sqref="E17:E26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between" dxfId="2">
      <formula>0.0001</formula>
      <formula>0.7999</formula>
    </cfRule>
  </conditionalFormatting>
  <conditionalFormatting sqref="F17:F26">
    <cfRule type="expression" priority="5" dxfId="3">
      <formula>F17="Excellent"</formula>
    </cfRule>
    <cfRule type="expression" priority="6" dxfId="0">
      <formula>F17="Meets Expectations"</formula>
    </cfRule>
    <cfRule type="expression" priority="7" dxfId="1">
      <formula>F17="Needs Improvement"</formula>
    </cfRule>
    <cfRule type="expression" priority="8" dxfId="2">
      <formula>F17="Corrective Education Required"</formula>
    </cfRule>
  </conditionalFormatting>
  <conditionalFormatting sqref="D7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between" dxfId="2">
      <formula>0.0001</formula>
      <formula>0.7999</formula>
    </cfRule>
  </conditionalFormatting>
  <conditionalFormatting sqref="E28">
    <cfRule type="expression" priority="13" dxfId="3">
      <formula>E28="Excellent"</formula>
    </cfRule>
    <cfRule type="expression" priority="14" dxfId="0">
      <formula>E28="Meets Expectations"</formula>
    </cfRule>
    <cfRule type="expression" priority="15" dxfId="1">
      <formula>E28="Needs Improvement"</formula>
    </cfRule>
    <cfRule type="expression" priority="16" dxfId="2">
      <formula>E28="Corrective Education Required"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4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0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6" customHeight="1">
      <c r="A5" s="27" t="inlineStr">
        <is>
          <t>Claim Number:</t>
        </is>
      </c>
      <c r="B5" s="110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3.xml><?xml version="1.0" encoding="utf-8"?>
<worksheet xmlns="http://schemas.openxmlformats.org/spreadsheetml/2006/main">
  <sheetPr>
    <tabColor rgb="001E40AF"/>
    <outlinePr summaryBelow="1" summaryRight="1"/>
    <pageSetUpPr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  <col width="3" customWidth="1" min="11" max="11"/>
    <col width="26" customWidth="1" min="12" max="12"/>
    <col width="18" customWidth="1" min="13" max="13"/>
  </cols>
  <sheetData>
    <row r="1" ht="30" customHeight="1">
      <c r="A1" s="19" t="inlineStr">
        <is>
          <t>Audit Log — Rolling record</t>
        </is>
      </c>
      <c r="K1" s="62" t="n"/>
      <c r="L1" s="86" t="inlineStr">
        <is>
          <t>Provider Metrics</t>
        </is>
      </c>
    </row>
    <row r="2" ht="22" customHeight="1">
      <c r="A2" s="2" t="inlineStr">
        <is>
          <t>One row per chart audited. Log each chart when you finish it — this is your working history.</t>
        </is>
      </c>
      <c r="K2" s="62" t="n"/>
      <c r="L2" s="87" t="inlineStr">
        <is>
          <t>Pick a provider and month → rollup shows below</t>
        </is>
      </c>
    </row>
    <row r="3">
      <c r="K3" s="62" t="n"/>
      <c r="L3" s="62" t="n"/>
      <c r="M3" s="62" t="n"/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  <c r="K4" s="62" t="n"/>
      <c r="L4" s="3" t="inlineStr">
        <is>
          <t>Provider:</t>
        </is>
      </c>
      <c r="M4" s="88" t="inlineStr"/>
    </row>
    <row r="5" ht="26" customHeight="1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  <c r="K5" s="62" t="n"/>
      <c r="L5" s="3" t="inlineStr">
        <is>
          <t>Audit Month:</t>
        </is>
      </c>
      <c r="M5" s="88" t="inlineStr"/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  <c r="K6" s="62" t="n"/>
      <c r="L6" s="62" t="n"/>
      <c r="M6" s="62" t="n"/>
    </row>
    <row r="7" ht="24" customHeight="1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  <c r="K7" s="62" t="n"/>
      <c r="L7" s="3" t="inlineStr">
        <is>
          <t>Claims audited</t>
        </is>
      </c>
      <c r="M7" s="89">
        <f>SUMPRODUCT(($B$5:$B$200=$M$4)*ISNUMBER($A$5:$A$200)*(TEXT($A$5:$A$200,"yyyy-mm")=$M$5)*1)</f>
        <v/>
      </c>
    </row>
    <row r="8" ht="24" customHeight="1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  <c r="K8" s="62" t="n"/>
      <c r="L8" s="3" t="inlineStr">
        <is>
          <t>Average compliance %</t>
        </is>
      </c>
      <c r="M8" s="90">
        <f>IFERROR(SUMPRODUCT(($B$5:$B$200=$M$4)*ISNUMBER($A$5:$A$200)*(TEXT($A$5:$A$200,"yyyy-mm")=$M$5)*$F$5:$F$200)/SUMPRODUCT(($B$5:$B$200=$M$4)*ISNUMBER($A$5:$A$200)*(TEXT($A$5:$A$200,"yyyy-mm")=$M$5)*($F$5:$F$200&lt;&gt;"")),"")</f>
        <v/>
      </c>
    </row>
    <row r="9" ht="24" customHeight="1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  <c r="K9" s="62" t="n"/>
      <c r="L9" s="3" t="inlineStr">
        <is>
          <t>Charts — Excellent</t>
        </is>
      </c>
      <c r="M9" s="89">
        <f>SUMPRODUCT(($B$5:$B$200=$M$4)*ISNUMBER($A$5:$A$200)*(TEXT($A$5:$A$200,"yyyy-mm")=$M$5)*($G$5:$G$200="Excellent"))</f>
        <v/>
      </c>
    </row>
    <row r="10" ht="24" customHeight="1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  <c r="K10" s="62" t="n"/>
      <c r="L10" s="3" t="inlineStr">
        <is>
          <t>Charts — Meets Expectations</t>
        </is>
      </c>
      <c r="M10" s="89">
        <f>SUMPRODUCT(($B$5:$B$200=$M$4)*ISNUMBER($A$5:$A$200)*(TEXT($A$5:$A$200,"yyyy-mm")=$M$5)*($G$5:$G$200="Meets Expectations"))</f>
        <v/>
      </c>
    </row>
    <row r="11" ht="24" customHeight="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  <c r="K11" s="62" t="n"/>
      <c r="L11" s="3" t="inlineStr">
        <is>
          <t>Charts — Needs Improvement</t>
        </is>
      </c>
      <c r="M11" s="89">
        <f>SUMPRODUCT(($B$5:$B$200=$M$4)*ISNUMBER($A$5:$A$200)*(TEXT($A$5:$A$200,"yyyy-mm")=$M$5)*($G$5:$G$200="Needs Improvement"))</f>
        <v/>
      </c>
    </row>
    <row r="12" ht="24" customHeight="1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  <c r="K12" s="62" t="n"/>
      <c r="L12" s="3" t="inlineStr">
        <is>
          <t>Charts — Corrective Required</t>
        </is>
      </c>
      <c r="M12" s="89">
        <f>SUMPRODUCT(($B$5:$B$200=$M$4)*ISNUMBER($A$5:$A$200)*(TEXT($A$5:$A$200,"yyyy-mm")=$M$5)*($G$5:$G$200="Corrective Education Required"))</f>
        <v/>
      </c>
    </row>
    <row r="13" ht="24" customHeight="1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  <c r="K13" s="62" t="n"/>
      <c r="L13" s="3" t="inlineStr">
        <is>
          <t>Provider Performance Band</t>
        </is>
      </c>
      <c r="M13" s="91">
        <f>IFERROR(IF(SUMPRODUCT(($B$5:$B$200=$M$4)*ISNUMBER($A$5:$A$200)*(TEXT($A$5:$A$200,"yyyy-mm")=$M$5)*($F$5:$F$200&lt;&gt;""))=0,"",IF(SUMPRODUCT(($B$5:$B$200=$M$4)*ISNUMBER($A$5:$A$200)*(TEXT($A$5:$A$200,"yyyy-mm")=$M$5)*$F$5:$F$200)/SUMPRODUCT(($B$5:$B$200=$M$4)*ISNUMBER($A$5:$A$200)*(TEXT($A$5:$A$200,"yyyy-mm")=$M$5)*($F$5:$F$200&lt;&gt;""))&gt;=0.95,"Excellent",IF(SUMPRODUCT(($B$5:$B$200=$M$4)*ISNUMBER($A$5:$A$200)*(TEXT($A$5:$A$200,"yyyy-mm")=$M$5)*$F$5:$F$200)/SUMPRODUCT(($B$5:$B$200=$M$4)*ISNUMBER($A$5:$A$200)*(TEXT($A$5:$A$200,"yyyy-mm")=$M$5)*($F$5:$F$200&lt;&gt;""))&gt;=0.9,"Meets Expectations",IF(SUMPRODUCT(($B$5:$B$200=$M$4)*ISNUMBER($A$5:$A$200)*(TEXT($A$5:$A$200,"yyyy-mm")=$M$5)*$F$5:$F$200)/SUMPRODUCT(($B$5:$B$200=$M$4)*ISNUMBER($A$5:$A$200)*(TEXT($A$5:$A$200,"yyyy-mm")=$M$5)*($F$5:$F$200&lt;&gt;""))&gt;=0.8,"Needs Improvement","Corrective Education Required")))),"")</f>
        <v/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  <c r="K14" s="62" t="n"/>
      <c r="L14" s="62" t="n"/>
      <c r="M14" s="62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  <c r="K15" s="62" t="n"/>
      <c r="L15" s="62" t="n"/>
      <c r="M15" s="62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  <c r="K16" s="62" t="n"/>
      <c r="L16" s="62" t="n"/>
      <c r="M16" s="62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  <c r="K17" s="62" t="n"/>
      <c r="L17" s="62" t="n"/>
      <c r="M17" s="62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  <c r="K18" s="62" t="n"/>
      <c r="L18" s="62" t="n"/>
      <c r="M18" s="62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  <c r="K19" s="62" t="n"/>
      <c r="L19" s="62" t="n"/>
      <c r="M19" s="62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  <c r="K20" s="62" t="n"/>
      <c r="L20" s="62" t="n"/>
      <c r="M20" s="62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  <c r="K21" s="62" t="n"/>
      <c r="L21" s="62" t="n"/>
      <c r="M21" s="62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  <c r="K22" s="62" t="n"/>
      <c r="L22" s="62" t="n"/>
      <c r="M22" s="62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  <c r="K23" s="62" t="n"/>
      <c r="L23" s="62" t="n"/>
      <c r="M23" s="62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  <c r="K24" s="62" t="n"/>
      <c r="L24" s="62" t="n"/>
      <c r="M24" s="62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  <c r="K25" s="62" t="n"/>
      <c r="L25" s="62" t="n"/>
      <c r="M25" s="62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  <c r="K26" s="62" t="n"/>
      <c r="L26" s="62" t="n"/>
      <c r="M26" s="62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  <c r="K27" s="62" t="n"/>
      <c r="L27" s="62" t="n"/>
      <c r="M27" s="62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  <c r="K28" s="62" t="n"/>
      <c r="L28" s="62" t="n"/>
      <c r="M28" s="62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  <c r="K29" s="62" t="n"/>
      <c r="L29" s="62" t="n"/>
      <c r="M29" s="62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  <c r="K30" s="62" t="n"/>
      <c r="L30" s="62" t="n"/>
      <c r="M30" s="62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  <c r="K31" s="62" t="n"/>
      <c r="L31" s="62" t="n"/>
      <c r="M31" s="62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  <c r="K32" s="62" t="n"/>
      <c r="L32" s="62" t="n"/>
      <c r="M32" s="62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  <c r="K33" s="62" t="n"/>
      <c r="L33" s="62" t="n"/>
      <c r="M33" s="62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  <c r="K34" s="62" t="n"/>
      <c r="L34" s="62" t="n"/>
      <c r="M34" s="62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  <c r="K35" s="62" t="n"/>
      <c r="L35" s="62" t="n"/>
      <c r="M35" s="62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  <c r="K36" s="62" t="n"/>
      <c r="L36" s="62" t="n"/>
      <c r="M36" s="62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  <c r="K37" s="62" t="n"/>
      <c r="L37" s="62" t="n"/>
      <c r="M37" s="62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  <c r="K38" s="62" t="n"/>
      <c r="L38" s="62" t="n"/>
      <c r="M38" s="62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  <c r="K39" s="62" t="n"/>
      <c r="L39" s="62" t="n"/>
      <c r="M39" s="62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4">
    <mergeCell ref="A1:I1"/>
    <mergeCell ref="L2:M2"/>
    <mergeCell ref="A2:I2"/>
    <mergeCell ref="L1:M1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conditionalFormatting sqref="M8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lessThan" dxfId="2">
      <formula>0.8</formula>
    </cfRule>
  </conditionalFormatting>
  <conditionalFormatting sqref="M13">
    <cfRule type="expression" priority="13" dxfId="3">
      <formula>M13="Excellent"</formula>
    </cfRule>
    <cfRule type="expression" priority="14" dxfId="0">
      <formula>M13="Meets Expectations"</formula>
    </cfRule>
    <cfRule type="expression" priority="15" dxfId="1">
      <formula>M13="Needs Improvement"</formula>
    </cfRule>
    <cfRule type="expression" priority="16" dxfId="2">
      <formula>M13="Corrective Education Required"</formula>
    </cfRule>
  </conditionalFormatting>
  <dataValidations count="3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  <dataValidation sqref="M5" showDropDown="0" showInputMessage="0" showErrorMessage="0" allowBlank="1" type="list">
      <formula1>"2026-01,2026-02,2026-03,2026-04,2026-05,2026-06,2026-07,2026-08,2026-09,2026-10,2026-11,2026-12,2027-01,2027-02,2027-03,2027-04,2027-05,2027-06,2027-07,2027-08,2027-09,2027-10,2027-11,2027-12"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45309"/>
    <outlinePr summaryBelow="1" summaryRight="1"/>
    <pageSetUpPr/>
  </sheetPr>
  <dimension ref="A1:N1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3" customWidth="1" min="15" max="15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10" customHeight="1">
      <c r="A9" s="62" t="n"/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</row>
    <row r="10" ht="30" customHeight="1">
      <c r="A10" s="63" t="inlineStr">
        <is>
          <t xml:space="preserve">  Provider Progression — Monthly Compliance % by Provider</t>
        </is>
      </c>
    </row>
    <row r="11" ht="22" customHeight="1">
      <c r="A11" s="64" t="inlineStr">
        <is>
          <t>Type each provider's name in column B — the row fills in automatically from the Audit Log for the year picked above. Rising lines = improvement · falling lines = decline.</t>
        </is>
      </c>
    </row>
    <row r="12" ht="26" customHeight="1">
      <c r="A12" s="6" t="inlineStr"/>
      <c r="B12" s="6" t="inlineStr">
        <is>
          <t>Provider</t>
        </is>
      </c>
      <c r="C12" s="6" t="inlineStr">
        <is>
          <t>Jan</t>
        </is>
      </c>
      <c r="D12" s="6" t="inlineStr">
        <is>
          <t>Feb</t>
        </is>
      </c>
      <c r="E12" s="6" t="inlineStr">
        <is>
          <t>Mar</t>
        </is>
      </c>
      <c r="F12" s="6" t="inlineStr">
        <is>
          <t>Apr</t>
        </is>
      </c>
      <c r="G12" s="6" t="inlineStr">
        <is>
          <t>May</t>
        </is>
      </c>
      <c r="H12" s="6" t="inlineStr">
        <is>
          <t>Jun</t>
        </is>
      </c>
      <c r="I12" s="6" t="inlineStr">
        <is>
          <t>Jul</t>
        </is>
      </c>
      <c r="J12" s="6" t="inlineStr">
        <is>
          <t>Aug</t>
        </is>
      </c>
      <c r="K12" s="6" t="inlineStr">
        <is>
          <t>Sep</t>
        </is>
      </c>
      <c r="L12" s="6" t="inlineStr">
        <is>
          <t>Oct</t>
        </is>
      </c>
      <c r="M12" s="6" t="inlineStr">
        <is>
          <t>Nov</t>
        </is>
      </c>
      <c r="N12" s="6" t="inlineStr">
        <is>
          <t>Dec</t>
        </is>
      </c>
    </row>
    <row r="13" ht="24" customHeight="1">
      <c r="A13" s="65" t="n">
        <v>1</v>
      </c>
      <c r="B13" s="66" t="inlineStr">
        <is>
          <t>Dr. Rivera</t>
        </is>
      </c>
      <c r="C13" s="67">
        <f>IF($B13="","",IFERROR(SUMPRODUCT(('Audit Log'!$B$5:$B$200=$B13)*ISNUMBER('Audit Log'!$A$5:$A$200)*(MONTH('Audit Log'!$A$5:$A$200)=1)*(YEAR('Audit Log'!$A$5:$A$200)=$E$4)*'Audit Log'!$F$5:$F$200)/SUMPRODUCT(('Audit Log'!$B$5:$B$200=$B13)*ISNUMBER('Audit Log'!$A$5:$A$200)*(MONTH('Audit Log'!$A$5:$A$200)=1)*(YEAR('Audit Log'!$A$5:$A$200)=$E$4)*('Audit Log'!$F$5:$F$200&lt;&gt;"")),""))</f>
        <v/>
      </c>
      <c r="D13" s="67">
        <f>IF($B13="","",IFERROR(SUMPRODUCT(('Audit Log'!$B$5:$B$200=$B13)*ISNUMBER('Audit Log'!$A$5:$A$200)*(MONTH('Audit Log'!$A$5:$A$200)=2)*(YEAR('Audit Log'!$A$5:$A$200)=$E$4)*'Audit Log'!$F$5:$F$200)/SUMPRODUCT(('Audit Log'!$B$5:$B$200=$B13)*ISNUMBER('Audit Log'!$A$5:$A$200)*(MONTH('Audit Log'!$A$5:$A$200)=2)*(YEAR('Audit Log'!$A$5:$A$200)=$E$4)*('Audit Log'!$F$5:$F$200&lt;&gt;"")),""))</f>
        <v/>
      </c>
      <c r="E13" s="67">
        <f>IF($B13="","",IFERROR(SUMPRODUCT(('Audit Log'!$B$5:$B$200=$B13)*ISNUMBER('Audit Log'!$A$5:$A$200)*(MONTH('Audit Log'!$A$5:$A$200)=3)*(YEAR('Audit Log'!$A$5:$A$200)=$E$4)*'Audit Log'!$F$5:$F$200)/SUMPRODUCT(('Audit Log'!$B$5:$B$200=$B13)*ISNUMBER('Audit Log'!$A$5:$A$200)*(MONTH('Audit Log'!$A$5:$A$200)=3)*(YEAR('Audit Log'!$A$5:$A$200)=$E$4)*('Audit Log'!$F$5:$F$200&lt;&gt;"")),""))</f>
        <v/>
      </c>
      <c r="F13" s="67">
        <f>IF($B13="","",IFERROR(SUMPRODUCT(('Audit Log'!$B$5:$B$200=$B13)*ISNUMBER('Audit Log'!$A$5:$A$200)*(MONTH('Audit Log'!$A$5:$A$200)=4)*(YEAR('Audit Log'!$A$5:$A$200)=$E$4)*'Audit Log'!$F$5:$F$200)/SUMPRODUCT(('Audit Log'!$B$5:$B$200=$B13)*ISNUMBER('Audit Log'!$A$5:$A$200)*(MONTH('Audit Log'!$A$5:$A$200)=4)*(YEAR('Audit Log'!$A$5:$A$200)=$E$4)*('Audit Log'!$F$5:$F$200&lt;&gt;"")),""))</f>
        <v/>
      </c>
      <c r="G13" s="67">
        <f>IF($B13="","",IFERROR(SUMPRODUCT(('Audit Log'!$B$5:$B$200=$B13)*ISNUMBER('Audit Log'!$A$5:$A$200)*(MONTH('Audit Log'!$A$5:$A$200)=5)*(YEAR('Audit Log'!$A$5:$A$200)=$E$4)*'Audit Log'!$F$5:$F$200)/SUMPRODUCT(('Audit Log'!$B$5:$B$200=$B13)*ISNUMBER('Audit Log'!$A$5:$A$200)*(MONTH('Audit Log'!$A$5:$A$200)=5)*(YEAR('Audit Log'!$A$5:$A$200)=$E$4)*('Audit Log'!$F$5:$F$200&lt;&gt;"")),""))</f>
        <v/>
      </c>
      <c r="H13" s="67">
        <f>IF($B13="","",IFERROR(SUMPRODUCT(('Audit Log'!$B$5:$B$200=$B13)*ISNUMBER('Audit Log'!$A$5:$A$200)*(MONTH('Audit Log'!$A$5:$A$200)=6)*(YEAR('Audit Log'!$A$5:$A$200)=$E$4)*'Audit Log'!$F$5:$F$200)/SUMPRODUCT(('Audit Log'!$B$5:$B$200=$B13)*ISNUMBER('Audit Log'!$A$5:$A$200)*(MONTH('Audit Log'!$A$5:$A$200)=6)*(YEAR('Audit Log'!$A$5:$A$200)=$E$4)*('Audit Log'!$F$5:$F$200&lt;&gt;"")),""))</f>
        <v/>
      </c>
      <c r="I13" s="67">
        <f>IF($B13="","",IFERROR(SUMPRODUCT(('Audit Log'!$B$5:$B$200=$B13)*ISNUMBER('Audit Log'!$A$5:$A$200)*(MONTH('Audit Log'!$A$5:$A$200)=7)*(YEAR('Audit Log'!$A$5:$A$200)=$E$4)*'Audit Log'!$F$5:$F$200)/SUMPRODUCT(('Audit Log'!$B$5:$B$200=$B13)*ISNUMBER('Audit Log'!$A$5:$A$200)*(MONTH('Audit Log'!$A$5:$A$200)=7)*(YEAR('Audit Log'!$A$5:$A$200)=$E$4)*('Audit Log'!$F$5:$F$200&lt;&gt;"")),""))</f>
        <v/>
      </c>
      <c r="J13" s="67">
        <f>IF($B13="","",IFERROR(SUMPRODUCT(('Audit Log'!$B$5:$B$200=$B13)*ISNUMBER('Audit Log'!$A$5:$A$200)*(MONTH('Audit Log'!$A$5:$A$200)=8)*(YEAR('Audit Log'!$A$5:$A$200)=$E$4)*'Audit Log'!$F$5:$F$200)/SUMPRODUCT(('Audit Log'!$B$5:$B$200=$B13)*ISNUMBER('Audit Log'!$A$5:$A$200)*(MONTH('Audit Log'!$A$5:$A$200)=8)*(YEAR('Audit Log'!$A$5:$A$200)=$E$4)*('Audit Log'!$F$5:$F$200&lt;&gt;"")),""))</f>
        <v/>
      </c>
      <c r="K13" s="67">
        <f>IF($B13="","",IFERROR(SUMPRODUCT(('Audit Log'!$B$5:$B$200=$B13)*ISNUMBER('Audit Log'!$A$5:$A$200)*(MONTH('Audit Log'!$A$5:$A$200)=9)*(YEAR('Audit Log'!$A$5:$A$200)=$E$4)*'Audit Log'!$F$5:$F$200)/SUMPRODUCT(('Audit Log'!$B$5:$B$200=$B13)*ISNUMBER('Audit Log'!$A$5:$A$200)*(MONTH('Audit Log'!$A$5:$A$200)=9)*(YEAR('Audit Log'!$A$5:$A$200)=$E$4)*('Audit Log'!$F$5:$F$200&lt;&gt;"")),""))</f>
        <v/>
      </c>
      <c r="L13" s="67">
        <f>IF($B13="","",IFERROR(SUMPRODUCT(('Audit Log'!$B$5:$B$200=$B13)*ISNUMBER('Audit Log'!$A$5:$A$200)*(MONTH('Audit Log'!$A$5:$A$200)=10)*(YEAR('Audit Log'!$A$5:$A$200)=$E$4)*'Audit Log'!$F$5:$F$200)/SUMPRODUCT(('Audit Log'!$B$5:$B$200=$B13)*ISNUMBER('Audit Log'!$A$5:$A$200)*(MONTH('Audit Log'!$A$5:$A$200)=10)*(YEAR('Audit Log'!$A$5:$A$200)=$E$4)*('Audit Log'!$F$5:$F$200&lt;&gt;"")),""))</f>
        <v/>
      </c>
      <c r="M13" s="67">
        <f>IF($B13="","",IFERROR(SUMPRODUCT(('Audit Log'!$B$5:$B$200=$B13)*ISNUMBER('Audit Log'!$A$5:$A$200)*(MONTH('Audit Log'!$A$5:$A$200)=11)*(YEAR('Audit Log'!$A$5:$A$200)=$E$4)*'Audit Log'!$F$5:$F$200)/SUMPRODUCT(('Audit Log'!$B$5:$B$200=$B13)*ISNUMBER('Audit Log'!$A$5:$A$200)*(MONTH('Audit Log'!$A$5:$A$200)=11)*(YEAR('Audit Log'!$A$5:$A$200)=$E$4)*('Audit Log'!$F$5:$F$200&lt;&gt;"")),""))</f>
        <v/>
      </c>
      <c r="N13" s="67">
        <f>IF($B13="","",IFERROR(SUMPRODUCT(('Audit Log'!$B$5:$B$200=$B13)*ISNUMBER('Audit Log'!$A$5:$A$200)*(MONTH('Audit Log'!$A$5:$A$200)=12)*(YEAR('Audit Log'!$A$5:$A$200)=$E$4)*'Audit Log'!$F$5:$F$200)/SUMPRODUCT(('Audit Log'!$B$5:$B$200=$B13)*ISNUMBER('Audit Log'!$A$5:$A$200)*(MONTH('Audit Log'!$A$5:$A$200)=12)*(YEAR('Audit Log'!$A$5:$A$200)=$E$4)*('Audit Log'!$F$5:$F$200&lt;&gt;"")),""))</f>
        <v/>
      </c>
    </row>
    <row r="14" ht="24" customHeight="1">
      <c r="A14" s="65" t="n">
        <v>2</v>
      </c>
      <c r="B14" s="66" t="inlineStr">
        <is>
          <t>Dr. Colón</t>
        </is>
      </c>
      <c r="C14" s="67">
        <f>IF($B14="","",IFERROR(SUMPRODUCT(('Audit Log'!$B$5:$B$200=$B14)*ISNUMBER('Audit Log'!$A$5:$A$200)*(MONTH('Audit Log'!$A$5:$A$200)=1)*(YEAR('Audit Log'!$A$5:$A$200)=$E$4)*'Audit Log'!$F$5:$F$200)/SUMPRODUCT(('Audit Log'!$B$5:$B$200=$B14)*ISNUMBER('Audit Log'!$A$5:$A$200)*(MONTH('Audit Log'!$A$5:$A$200)=1)*(YEAR('Audit Log'!$A$5:$A$200)=$E$4)*('Audit Log'!$F$5:$F$200&lt;&gt;"")),""))</f>
        <v/>
      </c>
      <c r="D14" s="67">
        <f>IF($B14="","",IFERROR(SUMPRODUCT(('Audit Log'!$B$5:$B$200=$B14)*ISNUMBER('Audit Log'!$A$5:$A$200)*(MONTH('Audit Log'!$A$5:$A$200)=2)*(YEAR('Audit Log'!$A$5:$A$200)=$E$4)*'Audit Log'!$F$5:$F$200)/SUMPRODUCT(('Audit Log'!$B$5:$B$200=$B14)*ISNUMBER('Audit Log'!$A$5:$A$200)*(MONTH('Audit Log'!$A$5:$A$200)=2)*(YEAR('Audit Log'!$A$5:$A$200)=$E$4)*('Audit Log'!$F$5:$F$200&lt;&gt;"")),""))</f>
        <v/>
      </c>
      <c r="E14" s="67">
        <f>IF($B14="","",IFERROR(SUMPRODUCT(('Audit Log'!$B$5:$B$200=$B14)*ISNUMBER('Audit Log'!$A$5:$A$200)*(MONTH('Audit Log'!$A$5:$A$200)=3)*(YEAR('Audit Log'!$A$5:$A$200)=$E$4)*'Audit Log'!$F$5:$F$200)/SUMPRODUCT(('Audit Log'!$B$5:$B$200=$B14)*ISNUMBER('Audit Log'!$A$5:$A$200)*(MONTH('Audit Log'!$A$5:$A$200)=3)*(YEAR('Audit Log'!$A$5:$A$200)=$E$4)*('Audit Log'!$F$5:$F$200&lt;&gt;"")),""))</f>
        <v/>
      </c>
      <c r="F14" s="67">
        <f>IF($B14="","",IFERROR(SUMPRODUCT(('Audit Log'!$B$5:$B$200=$B14)*ISNUMBER('Audit Log'!$A$5:$A$200)*(MONTH('Audit Log'!$A$5:$A$200)=4)*(YEAR('Audit Log'!$A$5:$A$200)=$E$4)*'Audit Log'!$F$5:$F$200)/SUMPRODUCT(('Audit Log'!$B$5:$B$200=$B14)*ISNUMBER('Audit Log'!$A$5:$A$200)*(MONTH('Audit Log'!$A$5:$A$200)=4)*(YEAR('Audit Log'!$A$5:$A$200)=$E$4)*('Audit Log'!$F$5:$F$200&lt;&gt;"")),""))</f>
        <v/>
      </c>
      <c r="G14" s="67">
        <f>IF($B14="","",IFERROR(SUMPRODUCT(('Audit Log'!$B$5:$B$200=$B14)*ISNUMBER('Audit Log'!$A$5:$A$200)*(MONTH('Audit Log'!$A$5:$A$200)=5)*(YEAR('Audit Log'!$A$5:$A$200)=$E$4)*'Audit Log'!$F$5:$F$200)/SUMPRODUCT(('Audit Log'!$B$5:$B$200=$B14)*ISNUMBER('Audit Log'!$A$5:$A$200)*(MONTH('Audit Log'!$A$5:$A$200)=5)*(YEAR('Audit Log'!$A$5:$A$200)=$E$4)*('Audit Log'!$F$5:$F$200&lt;&gt;"")),""))</f>
        <v/>
      </c>
      <c r="H14" s="67">
        <f>IF($B14="","",IFERROR(SUMPRODUCT(('Audit Log'!$B$5:$B$200=$B14)*ISNUMBER('Audit Log'!$A$5:$A$200)*(MONTH('Audit Log'!$A$5:$A$200)=6)*(YEAR('Audit Log'!$A$5:$A$200)=$E$4)*'Audit Log'!$F$5:$F$200)/SUMPRODUCT(('Audit Log'!$B$5:$B$200=$B14)*ISNUMBER('Audit Log'!$A$5:$A$200)*(MONTH('Audit Log'!$A$5:$A$200)=6)*(YEAR('Audit Log'!$A$5:$A$200)=$E$4)*('Audit Log'!$F$5:$F$200&lt;&gt;"")),""))</f>
        <v/>
      </c>
      <c r="I14" s="67">
        <f>IF($B14="","",IFERROR(SUMPRODUCT(('Audit Log'!$B$5:$B$200=$B14)*ISNUMBER('Audit Log'!$A$5:$A$200)*(MONTH('Audit Log'!$A$5:$A$200)=7)*(YEAR('Audit Log'!$A$5:$A$200)=$E$4)*'Audit Log'!$F$5:$F$200)/SUMPRODUCT(('Audit Log'!$B$5:$B$200=$B14)*ISNUMBER('Audit Log'!$A$5:$A$200)*(MONTH('Audit Log'!$A$5:$A$200)=7)*(YEAR('Audit Log'!$A$5:$A$200)=$E$4)*('Audit Log'!$F$5:$F$200&lt;&gt;"")),""))</f>
        <v/>
      </c>
      <c r="J14" s="67">
        <f>IF($B14="","",IFERROR(SUMPRODUCT(('Audit Log'!$B$5:$B$200=$B14)*ISNUMBER('Audit Log'!$A$5:$A$200)*(MONTH('Audit Log'!$A$5:$A$200)=8)*(YEAR('Audit Log'!$A$5:$A$200)=$E$4)*'Audit Log'!$F$5:$F$200)/SUMPRODUCT(('Audit Log'!$B$5:$B$200=$B14)*ISNUMBER('Audit Log'!$A$5:$A$200)*(MONTH('Audit Log'!$A$5:$A$200)=8)*(YEAR('Audit Log'!$A$5:$A$200)=$E$4)*('Audit Log'!$F$5:$F$200&lt;&gt;"")),""))</f>
        <v/>
      </c>
      <c r="K14" s="67">
        <f>IF($B14="","",IFERROR(SUMPRODUCT(('Audit Log'!$B$5:$B$200=$B14)*ISNUMBER('Audit Log'!$A$5:$A$200)*(MONTH('Audit Log'!$A$5:$A$200)=9)*(YEAR('Audit Log'!$A$5:$A$200)=$E$4)*'Audit Log'!$F$5:$F$200)/SUMPRODUCT(('Audit Log'!$B$5:$B$200=$B14)*ISNUMBER('Audit Log'!$A$5:$A$200)*(MONTH('Audit Log'!$A$5:$A$200)=9)*(YEAR('Audit Log'!$A$5:$A$200)=$E$4)*('Audit Log'!$F$5:$F$200&lt;&gt;"")),""))</f>
        <v/>
      </c>
      <c r="L14" s="67">
        <f>IF($B14="","",IFERROR(SUMPRODUCT(('Audit Log'!$B$5:$B$200=$B14)*ISNUMBER('Audit Log'!$A$5:$A$200)*(MONTH('Audit Log'!$A$5:$A$200)=10)*(YEAR('Audit Log'!$A$5:$A$200)=$E$4)*'Audit Log'!$F$5:$F$200)/SUMPRODUCT(('Audit Log'!$B$5:$B$200=$B14)*ISNUMBER('Audit Log'!$A$5:$A$200)*(MONTH('Audit Log'!$A$5:$A$200)=10)*(YEAR('Audit Log'!$A$5:$A$200)=$E$4)*('Audit Log'!$F$5:$F$200&lt;&gt;"")),""))</f>
        <v/>
      </c>
      <c r="M14" s="67">
        <f>IF($B14="","",IFERROR(SUMPRODUCT(('Audit Log'!$B$5:$B$200=$B14)*ISNUMBER('Audit Log'!$A$5:$A$200)*(MONTH('Audit Log'!$A$5:$A$200)=11)*(YEAR('Audit Log'!$A$5:$A$200)=$E$4)*'Audit Log'!$F$5:$F$200)/SUMPRODUCT(('Audit Log'!$B$5:$B$200=$B14)*ISNUMBER('Audit Log'!$A$5:$A$200)*(MONTH('Audit Log'!$A$5:$A$200)=11)*(YEAR('Audit Log'!$A$5:$A$200)=$E$4)*('Audit Log'!$F$5:$F$200&lt;&gt;"")),""))</f>
        <v/>
      </c>
      <c r="N14" s="67">
        <f>IF($B14="","",IFERROR(SUMPRODUCT(('Audit Log'!$B$5:$B$200=$B14)*ISNUMBER('Audit Log'!$A$5:$A$200)*(MONTH('Audit Log'!$A$5:$A$200)=12)*(YEAR('Audit Log'!$A$5:$A$200)=$E$4)*'Audit Log'!$F$5:$F$200)/SUMPRODUCT(('Audit Log'!$B$5:$B$200=$B14)*ISNUMBER('Audit Log'!$A$5:$A$200)*(MONTH('Audit Log'!$A$5:$A$200)=12)*(YEAR('Audit Log'!$A$5:$A$200)=$E$4)*('Audit Log'!$F$5:$F$200&lt;&gt;"")),""))</f>
        <v/>
      </c>
    </row>
    <row r="15" ht="24" customHeight="1">
      <c r="A15" s="65" t="n">
        <v>3</v>
      </c>
      <c r="B15" s="66" t="n"/>
      <c r="C15" s="67">
        <f>IF($B15="","",IFERROR(SUMPRODUCT(('Audit Log'!$B$5:$B$200=$B15)*ISNUMBER('Audit Log'!$A$5:$A$200)*(MONTH('Audit Log'!$A$5:$A$200)=1)*(YEAR('Audit Log'!$A$5:$A$200)=$E$4)*'Audit Log'!$F$5:$F$200)/SUMPRODUCT(('Audit Log'!$B$5:$B$200=$B15)*ISNUMBER('Audit Log'!$A$5:$A$200)*(MONTH('Audit Log'!$A$5:$A$200)=1)*(YEAR('Audit Log'!$A$5:$A$200)=$E$4)*('Audit Log'!$F$5:$F$200&lt;&gt;"")),""))</f>
        <v/>
      </c>
      <c r="D15" s="67">
        <f>IF($B15="","",IFERROR(SUMPRODUCT(('Audit Log'!$B$5:$B$200=$B15)*ISNUMBER('Audit Log'!$A$5:$A$200)*(MONTH('Audit Log'!$A$5:$A$200)=2)*(YEAR('Audit Log'!$A$5:$A$200)=$E$4)*'Audit Log'!$F$5:$F$200)/SUMPRODUCT(('Audit Log'!$B$5:$B$200=$B15)*ISNUMBER('Audit Log'!$A$5:$A$200)*(MONTH('Audit Log'!$A$5:$A$200)=2)*(YEAR('Audit Log'!$A$5:$A$200)=$E$4)*('Audit Log'!$F$5:$F$200&lt;&gt;"")),""))</f>
        <v/>
      </c>
      <c r="E15" s="67">
        <f>IF($B15="","",IFERROR(SUMPRODUCT(('Audit Log'!$B$5:$B$200=$B15)*ISNUMBER('Audit Log'!$A$5:$A$200)*(MONTH('Audit Log'!$A$5:$A$200)=3)*(YEAR('Audit Log'!$A$5:$A$200)=$E$4)*'Audit Log'!$F$5:$F$200)/SUMPRODUCT(('Audit Log'!$B$5:$B$200=$B15)*ISNUMBER('Audit Log'!$A$5:$A$200)*(MONTH('Audit Log'!$A$5:$A$200)=3)*(YEAR('Audit Log'!$A$5:$A$200)=$E$4)*('Audit Log'!$F$5:$F$200&lt;&gt;"")),""))</f>
        <v/>
      </c>
      <c r="F15" s="67">
        <f>IF($B15="","",IFERROR(SUMPRODUCT(('Audit Log'!$B$5:$B$200=$B15)*ISNUMBER('Audit Log'!$A$5:$A$200)*(MONTH('Audit Log'!$A$5:$A$200)=4)*(YEAR('Audit Log'!$A$5:$A$200)=$E$4)*'Audit Log'!$F$5:$F$200)/SUMPRODUCT(('Audit Log'!$B$5:$B$200=$B15)*ISNUMBER('Audit Log'!$A$5:$A$200)*(MONTH('Audit Log'!$A$5:$A$200)=4)*(YEAR('Audit Log'!$A$5:$A$200)=$E$4)*('Audit Log'!$F$5:$F$200&lt;&gt;"")),""))</f>
        <v/>
      </c>
      <c r="G15" s="67">
        <f>IF($B15="","",IFERROR(SUMPRODUCT(('Audit Log'!$B$5:$B$200=$B15)*ISNUMBER('Audit Log'!$A$5:$A$200)*(MONTH('Audit Log'!$A$5:$A$200)=5)*(YEAR('Audit Log'!$A$5:$A$200)=$E$4)*'Audit Log'!$F$5:$F$200)/SUMPRODUCT(('Audit Log'!$B$5:$B$200=$B15)*ISNUMBER('Audit Log'!$A$5:$A$200)*(MONTH('Audit Log'!$A$5:$A$200)=5)*(YEAR('Audit Log'!$A$5:$A$200)=$E$4)*('Audit Log'!$F$5:$F$200&lt;&gt;"")),""))</f>
        <v/>
      </c>
      <c r="H15" s="67">
        <f>IF($B15="","",IFERROR(SUMPRODUCT(('Audit Log'!$B$5:$B$200=$B15)*ISNUMBER('Audit Log'!$A$5:$A$200)*(MONTH('Audit Log'!$A$5:$A$200)=6)*(YEAR('Audit Log'!$A$5:$A$200)=$E$4)*'Audit Log'!$F$5:$F$200)/SUMPRODUCT(('Audit Log'!$B$5:$B$200=$B15)*ISNUMBER('Audit Log'!$A$5:$A$200)*(MONTH('Audit Log'!$A$5:$A$200)=6)*(YEAR('Audit Log'!$A$5:$A$200)=$E$4)*('Audit Log'!$F$5:$F$200&lt;&gt;"")),""))</f>
        <v/>
      </c>
      <c r="I15" s="67">
        <f>IF($B15="","",IFERROR(SUMPRODUCT(('Audit Log'!$B$5:$B$200=$B15)*ISNUMBER('Audit Log'!$A$5:$A$200)*(MONTH('Audit Log'!$A$5:$A$200)=7)*(YEAR('Audit Log'!$A$5:$A$200)=$E$4)*'Audit Log'!$F$5:$F$200)/SUMPRODUCT(('Audit Log'!$B$5:$B$200=$B15)*ISNUMBER('Audit Log'!$A$5:$A$200)*(MONTH('Audit Log'!$A$5:$A$200)=7)*(YEAR('Audit Log'!$A$5:$A$200)=$E$4)*('Audit Log'!$F$5:$F$200&lt;&gt;"")),""))</f>
        <v/>
      </c>
      <c r="J15" s="67">
        <f>IF($B15="","",IFERROR(SUMPRODUCT(('Audit Log'!$B$5:$B$200=$B15)*ISNUMBER('Audit Log'!$A$5:$A$200)*(MONTH('Audit Log'!$A$5:$A$200)=8)*(YEAR('Audit Log'!$A$5:$A$200)=$E$4)*'Audit Log'!$F$5:$F$200)/SUMPRODUCT(('Audit Log'!$B$5:$B$200=$B15)*ISNUMBER('Audit Log'!$A$5:$A$200)*(MONTH('Audit Log'!$A$5:$A$200)=8)*(YEAR('Audit Log'!$A$5:$A$200)=$E$4)*('Audit Log'!$F$5:$F$200&lt;&gt;"")),""))</f>
        <v/>
      </c>
      <c r="K15" s="67">
        <f>IF($B15="","",IFERROR(SUMPRODUCT(('Audit Log'!$B$5:$B$200=$B15)*ISNUMBER('Audit Log'!$A$5:$A$200)*(MONTH('Audit Log'!$A$5:$A$200)=9)*(YEAR('Audit Log'!$A$5:$A$200)=$E$4)*'Audit Log'!$F$5:$F$200)/SUMPRODUCT(('Audit Log'!$B$5:$B$200=$B15)*ISNUMBER('Audit Log'!$A$5:$A$200)*(MONTH('Audit Log'!$A$5:$A$200)=9)*(YEAR('Audit Log'!$A$5:$A$200)=$E$4)*('Audit Log'!$F$5:$F$200&lt;&gt;"")),""))</f>
        <v/>
      </c>
      <c r="L15" s="67">
        <f>IF($B15="","",IFERROR(SUMPRODUCT(('Audit Log'!$B$5:$B$200=$B15)*ISNUMBER('Audit Log'!$A$5:$A$200)*(MONTH('Audit Log'!$A$5:$A$200)=10)*(YEAR('Audit Log'!$A$5:$A$200)=$E$4)*'Audit Log'!$F$5:$F$200)/SUMPRODUCT(('Audit Log'!$B$5:$B$200=$B15)*ISNUMBER('Audit Log'!$A$5:$A$200)*(MONTH('Audit Log'!$A$5:$A$200)=10)*(YEAR('Audit Log'!$A$5:$A$200)=$E$4)*('Audit Log'!$F$5:$F$200&lt;&gt;"")),""))</f>
        <v/>
      </c>
      <c r="M15" s="67">
        <f>IF($B15="","",IFERROR(SUMPRODUCT(('Audit Log'!$B$5:$B$200=$B15)*ISNUMBER('Audit Log'!$A$5:$A$200)*(MONTH('Audit Log'!$A$5:$A$200)=11)*(YEAR('Audit Log'!$A$5:$A$200)=$E$4)*'Audit Log'!$F$5:$F$200)/SUMPRODUCT(('Audit Log'!$B$5:$B$200=$B15)*ISNUMBER('Audit Log'!$A$5:$A$200)*(MONTH('Audit Log'!$A$5:$A$200)=11)*(YEAR('Audit Log'!$A$5:$A$200)=$E$4)*('Audit Log'!$F$5:$F$200&lt;&gt;"")),""))</f>
        <v/>
      </c>
      <c r="N15" s="67">
        <f>IF($B15="","",IFERROR(SUMPRODUCT(('Audit Log'!$B$5:$B$200=$B15)*ISNUMBER('Audit Log'!$A$5:$A$200)*(MONTH('Audit Log'!$A$5:$A$200)=12)*(YEAR('Audit Log'!$A$5:$A$200)=$E$4)*'Audit Log'!$F$5:$F$200)/SUMPRODUCT(('Audit Log'!$B$5:$B$200=$B15)*ISNUMBER('Audit Log'!$A$5:$A$200)*(MONTH('Audit Log'!$A$5:$A$200)=12)*(YEAR('Audit Log'!$A$5:$A$200)=$E$4)*('Audit Log'!$F$5:$F$200&lt;&gt;"")),""))</f>
        <v/>
      </c>
    </row>
    <row r="16" ht="24" customHeight="1">
      <c r="A16" s="65" t="n">
        <v>4</v>
      </c>
      <c r="B16" s="66" t="n"/>
      <c r="C16" s="67">
        <f>IF($B16="","",IFERROR(SUMPRODUCT(('Audit Log'!$B$5:$B$200=$B16)*ISNUMBER('Audit Log'!$A$5:$A$200)*(MONTH('Audit Log'!$A$5:$A$200)=1)*(YEAR('Audit Log'!$A$5:$A$200)=$E$4)*'Audit Log'!$F$5:$F$200)/SUMPRODUCT(('Audit Log'!$B$5:$B$200=$B16)*ISNUMBER('Audit Log'!$A$5:$A$200)*(MONTH('Audit Log'!$A$5:$A$200)=1)*(YEAR('Audit Log'!$A$5:$A$200)=$E$4)*('Audit Log'!$F$5:$F$200&lt;&gt;"")),""))</f>
        <v/>
      </c>
      <c r="D16" s="67">
        <f>IF($B16="","",IFERROR(SUMPRODUCT(('Audit Log'!$B$5:$B$200=$B16)*ISNUMBER('Audit Log'!$A$5:$A$200)*(MONTH('Audit Log'!$A$5:$A$200)=2)*(YEAR('Audit Log'!$A$5:$A$200)=$E$4)*'Audit Log'!$F$5:$F$200)/SUMPRODUCT(('Audit Log'!$B$5:$B$200=$B16)*ISNUMBER('Audit Log'!$A$5:$A$200)*(MONTH('Audit Log'!$A$5:$A$200)=2)*(YEAR('Audit Log'!$A$5:$A$200)=$E$4)*('Audit Log'!$F$5:$F$200&lt;&gt;"")),""))</f>
        <v/>
      </c>
      <c r="E16" s="67">
        <f>IF($B16="","",IFERROR(SUMPRODUCT(('Audit Log'!$B$5:$B$200=$B16)*ISNUMBER('Audit Log'!$A$5:$A$200)*(MONTH('Audit Log'!$A$5:$A$200)=3)*(YEAR('Audit Log'!$A$5:$A$200)=$E$4)*'Audit Log'!$F$5:$F$200)/SUMPRODUCT(('Audit Log'!$B$5:$B$200=$B16)*ISNUMBER('Audit Log'!$A$5:$A$200)*(MONTH('Audit Log'!$A$5:$A$200)=3)*(YEAR('Audit Log'!$A$5:$A$200)=$E$4)*('Audit Log'!$F$5:$F$200&lt;&gt;"")),""))</f>
        <v/>
      </c>
      <c r="F16" s="67">
        <f>IF($B16="","",IFERROR(SUMPRODUCT(('Audit Log'!$B$5:$B$200=$B16)*ISNUMBER('Audit Log'!$A$5:$A$200)*(MONTH('Audit Log'!$A$5:$A$200)=4)*(YEAR('Audit Log'!$A$5:$A$200)=$E$4)*'Audit Log'!$F$5:$F$200)/SUMPRODUCT(('Audit Log'!$B$5:$B$200=$B16)*ISNUMBER('Audit Log'!$A$5:$A$200)*(MONTH('Audit Log'!$A$5:$A$200)=4)*(YEAR('Audit Log'!$A$5:$A$200)=$E$4)*('Audit Log'!$F$5:$F$200&lt;&gt;"")),""))</f>
        <v/>
      </c>
      <c r="G16" s="67">
        <f>IF($B16="","",IFERROR(SUMPRODUCT(('Audit Log'!$B$5:$B$200=$B16)*ISNUMBER('Audit Log'!$A$5:$A$200)*(MONTH('Audit Log'!$A$5:$A$200)=5)*(YEAR('Audit Log'!$A$5:$A$200)=$E$4)*'Audit Log'!$F$5:$F$200)/SUMPRODUCT(('Audit Log'!$B$5:$B$200=$B16)*ISNUMBER('Audit Log'!$A$5:$A$200)*(MONTH('Audit Log'!$A$5:$A$200)=5)*(YEAR('Audit Log'!$A$5:$A$200)=$E$4)*('Audit Log'!$F$5:$F$200&lt;&gt;"")),""))</f>
        <v/>
      </c>
      <c r="H16" s="67">
        <f>IF($B16="","",IFERROR(SUMPRODUCT(('Audit Log'!$B$5:$B$200=$B16)*ISNUMBER('Audit Log'!$A$5:$A$200)*(MONTH('Audit Log'!$A$5:$A$200)=6)*(YEAR('Audit Log'!$A$5:$A$200)=$E$4)*'Audit Log'!$F$5:$F$200)/SUMPRODUCT(('Audit Log'!$B$5:$B$200=$B16)*ISNUMBER('Audit Log'!$A$5:$A$200)*(MONTH('Audit Log'!$A$5:$A$200)=6)*(YEAR('Audit Log'!$A$5:$A$200)=$E$4)*('Audit Log'!$F$5:$F$200&lt;&gt;"")),""))</f>
        <v/>
      </c>
      <c r="I16" s="67">
        <f>IF($B16="","",IFERROR(SUMPRODUCT(('Audit Log'!$B$5:$B$200=$B16)*ISNUMBER('Audit Log'!$A$5:$A$200)*(MONTH('Audit Log'!$A$5:$A$200)=7)*(YEAR('Audit Log'!$A$5:$A$200)=$E$4)*'Audit Log'!$F$5:$F$200)/SUMPRODUCT(('Audit Log'!$B$5:$B$200=$B16)*ISNUMBER('Audit Log'!$A$5:$A$200)*(MONTH('Audit Log'!$A$5:$A$200)=7)*(YEAR('Audit Log'!$A$5:$A$200)=$E$4)*('Audit Log'!$F$5:$F$200&lt;&gt;"")),""))</f>
        <v/>
      </c>
      <c r="J16" s="67">
        <f>IF($B16="","",IFERROR(SUMPRODUCT(('Audit Log'!$B$5:$B$200=$B16)*ISNUMBER('Audit Log'!$A$5:$A$200)*(MONTH('Audit Log'!$A$5:$A$200)=8)*(YEAR('Audit Log'!$A$5:$A$200)=$E$4)*'Audit Log'!$F$5:$F$200)/SUMPRODUCT(('Audit Log'!$B$5:$B$200=$B16)*ISNUMBER('Audit Log'!$A$5:$A$200)*(MONTH('Audit Log'!$A$5:$A$200)=8)*(YEAR('Audit Log'!$A$5:$A$200)=$E$4)*('Audit Log'!$F$5:$F$200&lt;&gt;"")),""))</f>
        <v/>
      </c>
      <c r="K16" s="67">
        <f>IF($B16="","",IFERROR(SUMPRODUCT(('Audit Log'!$B$5:$B$200=$B16)*ISNUMBER('Audit Log'!$A$5:$A$200)*(MONTH('Audit Log'!$A$5:$A$200)=9)*(YEAR('Audit Log'!$A$5:$A$200)=$E$4)*'Audit Log'!$F$5:$F$200)/SUMPRODUCT(('Audit Log'!$B$5:$B$200=$B16)*ISNUMBER('Audit Log'!$A$5:$A$200)*(MONTH('Audit Log'!$A$5:$A$200)=9)*(YEAR('Audit Log'!$A$5:$A$200)=$E$4)*('Audit Log'!$F$5:$F$200&lt;&gt;"")),""))</f>
        <v/>
      </c>
      <c r="L16" s="67">
        <f>IF($B16="","",IFERROR(SUMPRODUCT(('Audit Log'!$B$5:$B$200=$B16)*ISNUMBER('Audit Log'!$A$5:$A$200)*(MONTH('Audit Log'!$A$5:$A$200)=10)*(YEAR('Audit Log'!$A$5:$A$200)=$E$4)*'Audit Log'!$F$5:$F$200)/SUMPRODUCT(('Audit Log'!$B$5:$B$200=$B16)*ISNUMBER('Audit Log'!$A$5:$A$200)*(MONTH('Audit Log'!$A$5:$A$200)=10)*(YEAR('Audit Log'!$A$5:$A$200)=$E$4)*('Audit Log'!$F$5:$F$200&lt;&gt;"")),""))</f>
        <v/>
      </c>
      <c r="M16" s="67">
        <f>IF($B16="","",IFERROR(SUMPRODUCT(('Audit Log'!$B$5:$B$200=$B16)*ISNUMBER('Audit Log'!$A$5:$A$200)*(MONTH('Audit Log'!$A$5:$A$200)=11)*(YEAR('Audit Log'!$A$5:$A$200)=$E$4)*'Audit Log'!$F$5:$F$200)/SUMPRODUCT(('Audit Log'!$B$5:$B$200=$B16)*ISNUMBER('Audit Log'!$A$5:$A$200)*(MONTH('Audit Log'!$A$5:$A$200)=11)*(YEAR('Audit Log'!$A$5:$A$200)=$E$4)*('Audit Log'!$F$5:$F$200&lt;&gt;"")),""))</f>
        <v/>
      </c>
      <c r="N16" s="67">
        <f>IF($B16="","",IFERROR(SUMPRODUCT(('Audit Log'!$B$5:$B$200=$B16)*ISNUMBER('Audit Log'!$A$5:$A$200)*(MONTH('Audit Log'!$A$5:$A$200)=12)*(YEAR('Audit Log'!$A$5:$A$200)=$E$4)*'Audit Log'!$F$5:$F$200)/SUMPRODUCT(('Audit Log'!$B$5:$B$200=$B16)*ISNUMBER('Audit Log'!$A$5:$A$200)*(MONTH('Audit Log'!$A$5:$A$200)=12)*(YEAR('Audit Log'!$A$5:$A$200)=$E$4)*('Audit Log'!$F$5:$F$200&lt;&gt;"")),""))</f>
        <v/>
      </c>
    </row>
    <row r="17" ht="24" customHeight="1">
      <c r="A17" s="65" t="n">
        <v>5</v>
      </c>
      <c r="B17" s="66" t="n"/>
      <c r="C17" s="67">
        <f>IF($B17="","",IFERROR(SUMPRODUCT(('Audit Log'!$B$5:$B$200=$B17)*ISNUMBER('Audit Log'!$A$5:$A$200)*(MONTH('Audit Log'!$A$5:$A$200)=1)*(YEAR('Audit Log'!$A$5:$A$200)=$E$4)*'Audit Log'!$F$5:$F$200)/SUMPRODUCT(('Audit Log'!$B$5:$B$200=$B17)*ISNUMBER('Audit Log'!$A$5:$A$200)*(MONTH('Audit Log'!$A$5:$A$200)=1)*(YEAR('Audit Log'!$A$5:$A$200)=$E$4)*('Audit Log'!$F$5:$F$200&lt;&gt;"")),""))</f>
        <v/>
      </c>
      <c r="D17" s="67">
        <f>IF($B17="","",IFERROR(SUMPRODUCT(('Audit Log'!$B$5:$B$200=$B17)*ISNUMBER('Audit Log'!$A$5:$A$200)*(MONTH('Audit Log'!$A$5:$A$200)=2)*(YEAR('Audit Log'!$A$5:$A$200)=$E$4)*'Audit Log'!$F$5:$F$200)/SUMPRODUCT(('Audit Log'!$B$5:$B$200=$B17)*ISNUMBER('Audit Log'!$A$5:$A$200)*(MONTH('Audit Log'!$A$5:$A$200)=2)*(YEAR('Audit Log'!$A$5:$A$200)=$E$4)*('Audit Log'!$F$5:$F$200&lt;&gt;"")),""))</f>
        <v/>
      </c>
      <c r="E17" s="67">
        <f>IF($B17="","",IFERROR(SUMPRODUCT(('Audit Log'!$B$5:$B$200=$B17)*ISNUMBER('Audit Log'!$A$5:$A$200)*(MONTH('Audit Log'!$A$5:$A$200)=3)*(YEAR('Audit Log'!$A$5:$A$200)=$E$4)*'Audit Log'!$F$5:$F$200)/SUMPRODUCT(('Audit Log'!$B$5:$B$200=$B17)*ISNUMBER('Audit Log'!$A$5:$A$200)*(MONTH('Audit Log'!$A$5:$A$200)=3)*(YEAR('Audit Log'!$A$5:$A$200)=$E$4)*('Audit Log'!$F$5:$F$200&lt;&gt;"")),""))</f>
        <v/>
      </c>
      <c r="F17" s="67">
        <f>IF($B17="","",IFERROR(SUMPRODUCT(('Audit Log'!$B$5:$B$200=$B17)*ISNUMBER('Audit Log'!$A$5:$A$200)*(MONTH('Audit Log'!$A$5:$A$200)=4)*(YEAR('Audit Log'!$A$5:$A$200)=$E$4)*'Audit Log'!$F$5:$F$200)/SUMPRODUCT(('Audit Log'!$B$5:$B$200=$B17)*ISNUMBER('Audit Log'!$A$5:$A$200)*(MONTH('Audit Log'!$A$5:$A$200)=4)*(YEAR('Audit Log'!$A$5:$A$200)=$E$4)*('Audit Log'!$F$5:$F$200&lt;&gt;"")),""))</f>
        <v/>
      </c>
      <c r="G17" s="67">
        <f>IF($B17="","",IFERROR(SUMPRODUCT(('Audit Log'!$B$5:$B$200=$B17)*ISNUMBER('Audit Log'!$A$5:$A$200)*(MONTH('Audit Log'!$A$5:$A$200)=5)*(YEAR('Audit Log'!$A$5:$A$200)=$E$4)*'Audit Log'!$F$5:$F$200)/SUMPRODUCT(('Audit Log'!$B$5:$B$200=$B17)*ISNUMBER('Audit Log'!$A$5:$A$200)*(MONTH('Audit Log'!$A$5:$A$200)=5)*(YEAR('Audit Log'!$A$5:$A$200)=$E$4)*('Audit Log'!$F$5:$F$200&lt;&gt;"")),""))</f>
        <v/>
      </c>
      <c r="H17" s="67">
        <f>IF($B17="","",IFERROR(SUMPRODUCT(('Audit Log'!$B$5:$B$200=$B17)*ISNUMBER('Audit Log'!$A$5:$A$200)*(MONTH('Audit Log'!$A$5:$A$200)=6)*(YEAR('Audit Log'!$A$5:$A$200)=$E$4)*'Audit Log'!$F$5:$F$200)/SUMPRODUCT(('Audit Log'!$B$5:$B$200=$B17)*ISNUMBER('Audit Log'!$A$5:$A$200)*(MONTH('Audit Log'!$A$5:$A$200)=6)*(YEAR('Audit Log'!$A$5:$A$200)=$E$4)*('Audit Log'!$F$5:$F$200&lt;&gt;"")),""))</f>
        <v/>
      </c>
      <c r="I17" s="67">
        <f>IF($B17="","",IFERROR(SUMPRODUCT(('Audit Log'!$B$5:$B$200=$B17)*ISNUMBER('Audit Log'!$A$5:$A$200)*(MONTH('Audit Log'!$A$5:$A$200)=7)*(YEAR('Audit Log'!$A$5:$A$200)=$E$4)*'Audit Log'!$F$5:$F$200)/SUMPRODUCT(('Audit Log'!$B$5:$B$200=$B17)*ISNUMBER('Audit Log'!$A$5:$A$200)*(MONTH('Audit Log'!$A$5:$A$200)=7)*(YEAR('Audit Log'!$A$5:$A$200)=$E$4)*('Audit Log'!$F$5:$F$200&lt;&gt;"")),""))</f>
        <v/>
      </c>
      <c r="J17" s="67">
        <f>IF($B17="","",IFERROR(SUMPRODUCT(('Audit Log'!$B$5:$B$200=$B17)*ISNUMBER('Audit Log'!$A$5:$A$200)*(MONTH('Audit Log'!$A$5:$A$200)=8)*(YEAR('Audit Log'!$A$5:$A$200)=$E$4)*'Audit Log'!$F$5:$F$200)/SUMPRODUCT(('Audit Log'!$B$5:$B$200=$B17)*ISNUMBER('Audit Log'!$A$5:$A$200)*(MONTH('Audit Log'!$A$5:$A$200)=8)*(YEAR('Audit Log'!$A$5:$A$200)=$E$4)*('Audit Log'!$F$5:$F$200&lt;&gt;"")),""))</f>
        <v/>
      </c>
      <c r="K17" s="67">
        <f>IF($B17="","",IFERROR(SUMPRODUCT(('Audit Log'!$B$5:$B$200=$B17)*ISNUMBER('Audit Log'!$A$5:$A$200)*(MONTH('Audit Log'!$A$5:$A$200)=9)*(YEAR('Audit Log'!$A$5:$A$200)=$E$4)*'Audit Log'!$F$5:$F$200)/SUMPRODUCT(('Audit Log'!$B$5:$B$200=$B17)*ISNUMBER('Audit Log'!$A$5:$A$200)*(MONTH('Audit Log'!$A$5:$A$200)=9)*(YEAR('Audit Log'!$A$5:$A$200)=$E$4)*('Audit Log'!$F$5:$F$200&lt;&gt;"")),""))</f>
        <v/>
      </c>
      <c r="L17" s="67">
        <f>IF($B17="","",IFERROR(SUMPRODUCT(('Audit Log'!$B$5:$B$200=$B17)*ISNUMBER('Audit Log'!$A$5:$A$200)*(MONTH('Audit Log'!$A$5:$A$200)=10)*(YEAR('Audit Log'!$A$5:$A$200)=$E$4)*'Audit Log'!$F$5:$F$200)/SUMPRODUCT(('Audit Log'!$B$5:$B$200=$B17)*ISNUMBER('Audit Log'!$A$5:$A$200)*(MONTH('Audit Log'!$A$5:$A$200)=10)*(YEAR('Audit Log'!$A$5:$A$200)=$E$4)*('Audit Log'!$F$5:$F$200&lt;&gt;"")),""))</f>
        <v/>
      </c>
      <c r="M17" s="67">
        <f>IF($B17="","",IFERROR(SUMPRODUCT(('Audit Log'!$B$5:$B$200=$B17)*ISNUMBER('Audit Log'!$A$5:$A$200)*(MONTH('Audit Log'!$A$5:$A$200)=11)*(YEAR('Audit Log'!$A$5:$A$200)=$E$4)*'Audit Log'!$F$5:$F$200)/SUMPRODUCT(('Audit Log'!$B$5:$B$200=$B17)*ISNUMBER('Audit Log'!$A$5:$A$200)*(MONTH('Audit Log'!$A$5:$A$200)=11)*(YEAR('Audit Log'!$A$5:$A$200)=$E$4)*('Audit Log'!$F$5:$F$200&lt;&gt;"")),""))</f>
        <v/>
      </c>
      <c r="N17" s="67">
        <f>IF($B17="","",IFERROR(SUMPRODUCT(('Audit Log'!$B$5:$B$200=$B17)*ISNUMBER('Audit Log'!$A$5:$A$200)*(MONTH('Audit Log'!$A$5:$A$200)=12)*(YEAR('Audit Log'!$A$5:$A$200)=$E$4)*'Audit Log'!$F$5:$F$200)/SUMPRODUCT(('Audit Log'!$B$5:$B$200=$B17)*ISNUMBER('Audit Log'!$A$5:$A$200)*(MONTH('Audit Log'!$A$5:$A$200)=12)*(YEAR('Audit Log'!$A$5:$A$200)=$E$4)*('Audit Log'!$F$5:$F$200&lt;&gt;"")),""))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D6:E6"/>
    <mergeCell ref="B6:C6"/>
    <mergeCell ref="A1:J1"/>
    <mergeCell ref="H6:I6"/>
    <mergeCell ref="A10:N10"/>
    <mergeCell ref="D7:E8"/>
    <mergeCell ref="B7:C8"/>
    <mergeCell ref="H7:I8"/>
    <mergeCell ref="F7:G8"/>
    <mergeCell ref="F6:G6"/>
    <mergeCell ref="A11:N11"/>
    <mergeCell ref="A2:J2"/>
  </mergeCells>
  <conditionalFormatting sqref="C13:N17">
    <cfRule type="cellIs" priority="1" operator="greaterThanOrEqual" dxfId="0">
      <formula>0.9</formula>
    </cfRule>
    <cfRule type="cellIs" priority="2" operator="between" dxfId="1">
      <formula>0.8</formula>
      <formula>0.8999</formula>
    </cfRule>
    <cfRule type="cellIs" priority="3" operator="between" dxfId="2">
      <formula>0.0001</formula>
      <formula>0.7999</formula>
    </cfRule>
  </conditionalFormatting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2026-07-13T11:42:51Z</dcterms:created>
  <dcterms:modified xmlns:dcterms="http://purl.org/dc/terms/" xmlns:xsi="http://www.w3.org/2001/XMLSchema-instance" xsi:type="dcterms:W3CDTF">2026-07-13T18:29:27Z</dcterms:modified>
</cp:coreProperties>
</file>