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 Checklist" sheetId="1" state="visible" r:id="rId1"/>
    <sheet name="Audit Log" sheetId="2" state="visible" r:id="rId2"/>
    <sheet name="Quick 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E3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12" customWidth="1" min="3" max="3"/>
    <col width="12" customWidth="1" min="4" max="4"/>
    <col width="34" customWidth="1" min="5" max="5"/>
  </cols>
  <sheetData>
    <row r="1" ht="34" customHeight="1">
      <c r="A1" s="1" t="inlineStr">
        <is>
          <t>Clinical Documentation Audit — Checklist</t>
        </is>
      </c>
    </row>
    <row r="2">
      <c r="A2" s="2" t="inlineStr">
        <is>
          <t>One chart · one page · tick each element ✓ Met · △ Partial · ✗ Not Met · N/A</t>
        </is>
      </c>
    </row>
    <row r="4">
      <c r="A4" s="3" t="inlineStr">
        <is>
          <t>Provider:</t>
        </is>
      </c>
      <c r="B4" s="4" t="n"/>
      <c r="C4" s="3" t="inlineStr">
        <is>
          <t>Date of Service:</t>
        </is>
      </c>
      <c r="D4" s="4" t="n"/>
      <c r="E4" s="5" t="inlineStr">
        <is>
          <t>How to use
• Pick ✓ / △ / ✗ / N/A for each row
• Score auto-totals at the bottom
• Log the chart on the Audit Log tab</t>
        </is>
      </c>
    </row>
    <row r="5">
      <c r="A5" s="3" t="inlineStr">
        <is>
          <t>MRN (masked):</t>
        </is>
      </c>
      <c r="B5" s="4" t="n"/>
      <c r="C5" s="3" t="inlineStr">
        <is>
          <t>Auditor:</t>
        </is>
      </c>
      <c r="D5" s="4" t="n"/>
    </row>
    <row r="6">
      <c r="A6" s="3" t="inlineStr">
        <is>
          <t>Category:</t>
        </is>
      </c>
      <c r="B6" s="4" t="n"/>
      <c r="C6" s="3" t="inlineStr">
        <is>
          <t>Payer:</t>
        </is>
      </c>
      <c r="D6" s="4" t="n"/>
    </row>
    <row r="8" ht="24" customHeight="1">
      <c r="A8" s="6" t="inlineStr">
        <is>
          <t>§</t>
        </is>
      </c>
      <c r="B8" s="6" t="inlineStr">
        <is>
          <t>Documentation Element</t>
        </is>
      </c>
      <c r="C8" s="6" t="inlineStr">
        <is>
          <t>Rating</t>
        </is>
      </c>
      <c r="D8" s="6" t="inlineStr">
        <is>
          <t>Score</t>
        </is>
      </c>
      <c r="E8" s="6" t="inlineStr">
        <is>
          <t>Notes / Evidence</t>
        </is>
      </c>
    </row>
    <row r="9" ht="26" customHeight="1">
      <c r="A9" s="7" t="inlineStr">
        <is>
          <t>A1</t>
        </is>
      </c>
      <c r="B9" s="3" t="inlineStr">
        <is>
          <t>All reported diagnoses are clinically supported in the note</t>
        </is>
      </c>
      <c r="C9" s="8" t="n"/>
      <c r="D9" s="9">
        <f>IF(C9="✓ Met",1,IF(C9="△ Partial",0.5,IF(C9="✗ Not Met",0,IF(C9="N/A","",""))))</f>
        <v/>
      </c>
      <c r="E9" s="10" t="n"/>
    </row>
    <row r="10" ht="26" customHeight="1">
      <c r="A10" s="9" t="inlineStr">
        <is>
          <t>A2</t>
        </is>
      </c>
      <c r="B10" s="10" t="inlineStr">
        <is>
          <t>Chronic conditions actively addressed at this visit (not just carried forward)</t>
        </is>
      </c>
      <c r="C10" s="8" t="n"/>
      <c r="D10" s="9">
        <f>IF(C10="✓ Met",1,IF(C10="△ Partial",0.5,IF(C10="✗ Not Met",0,IF(C10="N/A","",""))))</f>
        <v/>
      </c>
      <c r="E10" s="10" t="n"/>
    </row>
    <row r="11" ht="26" customHeight="1">
      <c r="A11" s="9" t="inlineStr">
        <is>
          <t>A3</t>
        </is>
      </c>
      <c r="B11" s="10" t="inlineStr">
        <is>
          <t>No unsupported or resolved conditions billed as active</t>
        </is>
      </c>
      <c r="C11" s="8" t="n"/>
      <c r="D11" s="9">
        <f>IF(C11="✓ Met",1,IF(C11="△ Partial",0.5,IF(C11="✗ Not Met",0,IF(C11="N/A","",""))))</f>
        <v/>
      </c>
      <c r="E11" s="10" t="n"/>
    </row>
    <row r="12" ht="26" customHeight="1">
      <c r="A12" s="9" t="inlineStr">
        <is>
          <t>A4</t>
        </is>
      </c>
      <c r="B12" s="10" t="inlineStr">
        <is>
          <t>Problem list matches today's assessment &amp; plan</t>
        </is>
      </c>
      <c r="C12" s="8" t="n"/>
      <c r="D12" s="9">
        <f>IF(C12="✓ Met",1,IF(C12="△ Partial",0.5,IF(C12="✗ Not Met",0,IF(C12="N/A","",""))))</f>
        <v/>
      </c>
      <c r="E12" s="10" t="n"/>
    </row>
    <row r="13" ht="26" customHeight="1">
      <c r="A13" s="7" t="inlineStr">
        <is>
          <t>B1</t>
        </is>
      </c>
      <c r="B13" s="3" t="inlineStr">
        <is>
          <t>ICD-10 codes at highest available specificity (avoid 'unspecified')</t>
        </is>
      </c>
      <c r="C13" s="8" t="n"/>
      <c r="D13" s="9">
        <f>IF(C13="✓ Met",1,IF(C13="△ Partial",0.5,IF(C13="✗ Not Met",0,IF(C13="N/A","",""))))</f>
        <v/>
      </c>
      <c r="E13" s="10" t="n"/>
    </row>
    <row r="14" ht="26" customHeight="1">
      <c r="A14" s="9" t="inlineStr">
        <is>
          <t>B2</t>
        </is>
      </c>
      <c r="B14" s="10" t="inlineStr">
        <is>
          <t>Diabetes: type + complications + control specified</t>
        </is>
      </c>
      <c r="C14" s="8" t="n"/>
      <c r="D14" s="9">
        <f>IF(C14="✓ Met",1,IF(C14="△ Partial",0.5,IF(C14="✗ Not Met",0,IF(C14="N/A","",""))))</f>
        <v/>
      </c>
      <c r="E14" s="10" t="n"/>
    </row>
    <row r="15" ht="26" customHeight="1">
      <c r="A15" s="9" t="inlineStr">
        <is>
          <t>B3</t>
        </is>
      </c>
      <c r="B15" s="10" t="inlineStr">
        <is>
          <t>S / O / A / P sections tell one consistent clinical story</t>
        </is>
      </c>
      <c r="C15" s="8" t="n"/>
      <c r="D15" s="9">
        <f>IF(C15="✓ Met",1,IF(C15="△ Partial",0.5,IF(C15="✗ Not Met",0,IF(C15="N/A","",""))))</f>
        <v/>
      </c>
      <c r="E15" s="10" t="n"/>
    </row>
    <row r="16" ht="26" customHeight="1">
      <c r="A16" s="9" t="inlineStr">
        <is>
          <t>B4</t>
        </is>
      </c>
      <c r="B16" s="10" t="inlineStr">
        <is>
          <t>Note signed, dated, and closed by the rendering provider</t>
        </is>
      </c>
      <c r="C16" s="8" t="n"/>
      <c r="D16" s="9">
        <f>IF(C16="✓ Met",1,IF(C16="△ Partial",0.5,IF(C16="✗ Not Met",0,IF(C16="N/A","",""))))</f>
        <v/>
      </c>
      <c r="E16" s="10" t="n"/>
    </row>
    <row r="17" ht="26" customHeight="1">
      <c r="A17" s="7" t="inlineStr">
        <is>
          <t>C1</t>
        </is>
      </c>
      <c r="B17" s="3" t="inlineStr">
        <is>
          <t>Monitor — signs, symptoms, or labs monitored</t>
        </is>
      </c>
      <c r="C17" s="8" t="n"/>
      <c r="D17" s="9">
        <f>IF(C17="✓ Met",1,IF(C17="△ Partial",0.5,IF(C17="✗ Not Met",0,IF(C17="N/A","",""))))</f>
        <v/>
      </c>
      <c r="E17" s="10" t="n"/>
    </row>
    <row r="18" ht="26" customHeight="1">
      <c r="A18" s="9" t="inlineStr">
        <is>
          <t>C2</t>
        </is>
      </c>
      <c r="B18" s="10" t="inlineStr">
        <is>
          <t>Evaluate — response to treatment evaluated</t>
        </is>
      </c>
      <c r="C18" s="8" t="n"/>
      <c r="D18" s="9">
        <f>IF(C18="✓ Met",1,IF(C18="△ Partial",0.5,IF(C18="✗ Not Met",0,IF(C18="N/A","",""))))</f>
        <v/>
      </c>
      <c r="E18" s="10" t="n"/>
    </row>
    <row r="19" ht="26" customHeight="1">
      <c r="A19" s="9" t="inlineStr">
        <is>
          <t>C3</t>
        </is>
      </c>
      <c r="B19" s="10" t="inlineStr">
        <is>
          <t>Assess / Address — diagnosis explicitly assessed today</t>
        </is>
      </c>
      <c r="C19" s="8" t="n"/>
      <c r="D19" s="9">
        <f>IF(C19="✓ Met",1,IF(C19="△ Partial",0.5,IF(C19="✗ Not Met",0,IF(C19="N/A","",""))))</f>
        <v/>
      </c>
      <c r="E19" s="10" t="n"/>
    </row>
    <row r="20" ht="26" customHeight="1">
      <c r="A20" s="9" t="inlineStr">
        <is>
          <t>C4</t>
        </is>
      </c>
      <c r="B20" s="10" t="inlineStr">
        <is>
          <t>Treat — treatment plan documented (med / referral / testing / follow-up)</t>
        </is>
      </c>
      <c r="C20" s="8" t="n"/>
      <c r="D20" s="9">
        <f>IF(C20="✓ Met",1,IF(C20="△ Partial",0.5,IF(C20="✗ Not Met",0,IF(C20="N/A","",""))))</f>
        <v/>
      </c>
      <c r="E20" s="10" t="n"/>
    </row>
    <row r="21" ht="26" customHeight="1">
      <c r="A21" s="7" t="inlineStr">
        <is>
          <t>D1</t>
        </is>
      </c>
      <c r="B21" s="3" t="inlineStr">
        <is>
          <t>Prior-year HCCs recaptured (or explicitly resolved with rationale)</t>
        </is>
      </c>
      <c r="C21" s="8" t="n"/>
      <c r="D21" s="9">
        <f>IF(C21="✓ Met",1,IF(C21="△ Partial",0.5,IF(C21="✗ Not Met",0,IF(C21="N/A","",""))))</f>
        <v/>
      </c>
      <c r="E21" s="10" t="n"/>
    </row>
    <row r="22" ht="26" customHeight="1">
      <c r="A22" s="9" t="inlineStr">
        <is>
          <t>D2</t>
        </is>
      </c>
      <c r="B22" s="10" t="inlineStr">
        <is>
          <t>Suspected undocumented chronic conditions captured with support</t>
        </is>
      </c>
      <c r="C22" s="8" t="n"/>
      <c r="D22" s="9">
        <f>IF(C22="✓ Met",1,IF(C22="△ Partial",0.5,IF(C22="✗ Not Met",0,IF(C22="N/A","",""))))</f>
        <v/>
      </c>
      <c r="E22" s="10" t="n"/>
    </row>
    <row r="23" ht="26" customHeight="1">
      <c r="A23" s="7" t="inlineStr">
        <is>
          <t>E1</t>
        </is>
      </c>
      <c r="B23" s="3" t="inlineStr">
        <is>
          <t>Applicable CPT II codes reported for open quality measures</t>
        </is>
      </c>
      <c r="C23" s="8" t="n"/>
      <c r="D23" s="9">
        <f>IF(C23="✓ Met",1,IF(C23="△ Partial",0.5,IF(C23="✗ Not Met",0,IF(C23="N/A","",""))))</f>
        <v/>
      </c>
      <c r="E23" s="10" t="n"/>
    </row>
    <row r="24" ht="26" customHeight="1">
      <c r="A24" s="9" t="inlineStr">
        <is>
          <t>E2</t>
        </is>
      </c>
      <c r="B24" s="10" t="inlineStr">
        <is>
          <t>Reason modifiers (1P / 2P / 3P / 8P) applied when measure not met</t>
        </is>
      </c>
      <c r="C24" s="8" t="n"/>
      <c r="D24" s="9">
        <f>IF(C24="✓ Met",1,IF(C24="△ Partial",0.5,IF(C24="✗ Not Met",0,IF(C24="N/A","",""))))</f>
        <v/>
      </c>
      <c r="E24" s="10" t="n"/>
    </row>
    <row r="27">
      <c r="A27" s="6" t="inlineStr">
        <is>
          <t>§</t>
        </is>
      </c>
      <c r="B27" s="6" t="inlineStr">
        <is>
          <t>Category</t>
        </is>
      </c>
      <c r="C27" s="6" t="inlineStr">
        <is>
          <t>Applicable</t>
        </is>
      </c>
      <c r="D27" s="6" t="inlineStr">
        <is>
          <t>% Met</t>
        </is>
      </c>
      <c r="E27" s="6" t="inlineStr">
        <is>
          <t>Notes</t>
        </is>
      </c>
    </row>
    <row r="28">
      <c r="A28" s="9" t="inlineStr">
        <is>
          <t>A</t>
        </is>
      </c>
      <c r="B28" s="11" t="inlineStr">
        <is>
          <t>Diagnosis Accuracy</t>
        </is>
      </c>
      <c r="C28" s="9">
        <f>COUNTIF(C9:C12,"✓ Met")+COUNTIF(C9:C12,"△ Partial")+COUNTIF(C9:C12,"✗ Not Met")</f>
        <v/>
      </c>
      <c r="D28" s="12">
        <f>IFERROR(SUM(D9:D12)/C28,"")</f>
        <v/>
      </c>
      <c r="E28" s="10" t="n"/>
    </row>
    <row r="29">
      <c r="A29" s="9" t="inlineStr">
        <is>
          <t>B</t>
        </is>
      </c>
      <c r="B29" s="11" t="inlineStr">
        <is>
          <t>Documentation Specificity</t>
        </is>
      </c>
      <c r="C29" s="9">
        <f>COUNTIF(C13:C16,"✓ Met")+COUNTIF(C13:C16,"△ Partial")+COUNTIF(C13:C16,"✗ Not Met")</f>
        <v/>
      </c>
      <c r="D29" s="12">
        <f>IFERROR(SUM(D13:D16)/C29,"")</f>
        <v/>
      </c>
      <c r="E29" s="10" t="n"/>
    </row>
    <row r="30">
      <c r="A30" s="9" t="inlineStr">
        <is>
          <t>C</t>
        </is>
      </c>
      <c r="B30" s="11" t="inlineStr">
        <is>
          <t>MEAT Support</t>
        </is>
      </c>
      <c r="C30" s="9">
        <f>COUNTIF(C17:C20,"✓ Met")+COUNTIF(C17:C20,"△ Partial")+COUNTIF(C17:C20,"✗ Not Met")</f>
        <v/>
      </c>
      <c r="D30" s="12">
        <f>IFERROR(SUM(D17:D20)/C30,"")</f>
        <v/>
      </c>
      <c r="E30" s="10" t="n"/>
    </row>
    <row r="31">
      <c r="A31" s="9" t="inlineStr">
        <is>
          <t>D</t>
        </is>
      </c>
      <c r="B31" s="11" t="inlineStr">
        <is>
          <t>HCC Capture</t>
        </is>
      </c>
      <c r="C31" s="9">
        <f>COUNTIF(C21:C22,"✓ Met")+COUNTIF(C21:C22,"△ Partial")+COUNTIF(C21:C22,"✗ Not Met")</f>
        <v/>
      </c>
      <c r="D31" s="12">
        <f>IFERROR(SUM(D21:D22)/C31,"")</f>
        <v/>
      </c>
      <c r="E31" s="10" t="n"/>
    </row>
    <row r="32">
      <c r="A32" s="9" t="inlineStr">
        <is>
          <t>E</t>
        </is>
      </c>
      <c r="B32" s="11" t="inlineStr">
        <is>
          <t>CPT II Reporting</t>
        </is>
      </c>
      <c r="C32" s="9">
        <f>COUNTIF(C23:C24,"✓ Met")+COUNTIF(C23:C24,"△ Partial")+COUNTIF(C23:C24,"✗ Not Met")</f>
        <v/>
      </c>
      <c r="D32" s="12">
        <f>IFERROR(SUM(D23:D24)/C32,"")</f>
        <v/>
      </c>
      <c r="E32" s="10" t="n"/>
    </row>
    <row r="34" ht="34" customHeight="1">
      <c r="A34" s="13" t="inlineStr">
        <is>
          <t>OVERALL COMPLIANCE %</t>
        </is>
      </c>
      <c r="B34" s="14" t="n"/>
      <c r="C34" s="15">
        <f>SUM(C28:C32)</f>
        <v/>
      </c>
      <c r="D34" s="16">
        <f>IFERROR(SUMPRODUCT(D28:D32,C28:C32)/SUM(C28:C32),"")</f>
        <v/>
      </c>
      <c r="E34" s="17" t="n"/>
    </row>
    <row r="35" ht="26" customHeight="1">
      <c r="A35" s="3" t="inlineStr">
        <is>
          <t>RATING</t>
        </is>
      </c>
      <c r="D35" s="18">
        <f>IF(D34="","",IF(D34&gt;=0.95,"Excellent",IF(D34&gt;=0.90,"Meets Expectations",IF(D34&gt;=0.80,"Needs Improvement","Corrective Education Required"))))</f>
        <v/>
      </c>
      <c r="E35" s="14" t="n"/>
    </row>
  </sheetData>
  <mergeCells count="6">
    <mergeCell ref="A2:E2"/>
    <mergeCell ref="E4:E6"/>
    <mergeCell ref="E6"/>
    <mergeCell ref="A1:E1"/>
    <mergeCell ref="A35:C35"/>
    <mergeCell ref="A34:B34"/>
  </mergeCells>
  <conditionalFormatting sqref="C9:C24">
    <cfRule type="expression" priority="1" dxfId="0">
      <formula>C9="✓ Met"</formula>
    </cfRule>
    <cfRule type="expression" priority="2" dxfId="1">
      <formula>C9="△ Partial"</formula>
    </cfRule>
    <cfRule type="expression" priority="3" dxfId="2">
      <formula>C9="✗ Not Met"</formula>
    </cfRule>
    <cfRule type="expression" priority="4" dxfId="3">
      <formula>C9="N/A"</formula>
    </cfRule>
  </conditionalFormatting>
  <conditionalFormatting sqref="D2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2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3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3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3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3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35">
    <cfRule type="expression" priority="24" dxfId="3">
      <formula>D35="Excellent"</formula>
    </cfRule>
    <cfRule type="expression" priority="25" dxfId="0">
      <formula>D35="Meets Expectations"</formula>
    </cfRule>
    <cfRule type="expression" priority="26" dxfId="1">
      <formula>D35="Needs Improvement"</formula>
    </cfRule>
    <cfRule type="expression" priority="27" dxfId="2">
      <formula>D35="Corrective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9:C2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1E40AF"/>
    <outlinePr summaryBelow="1" summaryRight="1"/>
    <pageSetUpPr/>
  </sheetPr>
  <dimension ref="A1:I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</cols>
  <sheetData>
    <row r="1" ht="30" customHeight="1">
      <c r="A1" s="19" t="inlineStr">
        <is>
          <t>Audit Log — Rolling record</t>
        </is>
      </c>
    </row>
    <row r="2">
      <c r="A2" s="2" t="inlineStr">
        <is>
          <t>One row per chart audited. Log each chart when you finish it — this is your working history.</t>
        </is>
      </c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MRN (masked)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</row>
    <row r="5">
      <c r="A5" s="9" t="n"/>
      <c r="B5" s="10" t="n"/>
      <c r="C5" s="10" t="n"/>
      <c r="D5" s="9" t="n"/>
      <c r="E5" s="9" t="n"/>
      <c r="F5" s="12" t="n"/>
      <c r="G5" s="9" t="n"/>
      <c r="H5" s="10" t="n"/>
      <c r="I5" s="10" t="n"/>
    </row>
    <row r="6">
      <c r="A6" s="9" t="n"/>
      <c r="B6" s="10" t="n"/>
      <c r="C6" s="10" t="n"/>
      <c r="D6" s="9" t="n"/>
      <c r="E6" s="9" t="n"/>
      <c r="F6" s="12" t="n"/>
      <c r="G6" s="9" t="n"/>
      <c r="H6" s="10" t="n"/>
      <c r="I6" s="10" t="n"/>
    </row>
    <row r="7">
      <c r="A7" s="9" t="n"/>
      <c r="B7" s="10" t="n"/>
      <c r="C7" s="10" t="n"/>
      <c r="D7" s="9" t="n"/>
      <c r="E7" s="9" t="n"/>
      <c r="F7" s="12" t="n"/>
      <c r="G7" s="9" t="n"/>
      <c r="H7" s="10" t="n"/>
      <c r="I7" s="10" t="n"/>
    </row>
    <row r="8">
      <c r="A8" s="9" t="n"/>
      <c r="B8" s="10" t="n"/>
      <c r="C8" s="10" t="n"/>
      <c r="D8" s="9" t="n"/>
      <c r="E8" s="9" t="n"/>
      <c r="F8" s="12" t="n"/>
      <c r="G8" s="9" t="n"/>
      <c r="H8" s="10" t="n"/>
      <c r="I8" s="10" t="n"/>
    </row>
    <row r="9">
      <c r="A9" s="9" t="n"/>
      <c r="B9" s="10" t="n"/>
      <c r="C9" s="10" t="n"/>
      <c r="D9" s="9" t="n"/>
      <c r="E9" s="9" t="n"/>
      <c r="F9" s="12" t="n"/>
      <c r="G9" s="9" t="n"/>
      <c r="H9" s="10" t="n"/>
      <c r="I9" s="10" t="n"/>
    </row>
    <row r="10">
      <c r="A10" s="9" t="n"/>
      <c r="B10" s="10" t="n"/>
      <c r="C10" s="10" t="n"/>
      <c r="D10" s="9" t="n"/>
      <c r="E10" s="9" t="n"/>
      <c r="F10" s="12" t="n"/>
      <c r="G10" s="9" t="n"/>
      <c r="H10" s="10" t="n"/>
      <c r="I10" s="10" t="n"/>
    </row>
    <row r="11">
      <c r="A11" s="9" t="n"/>
      <c r="B11" s="10" t="n"/>
      <c r="C11" s="10" t="n"/>
      <c r="D11" s="9" t="n"/>
      <c r="E11" s="9" t="n"/>
      <c r="F11" s="12" t="n"/>
      <c r="G11" s="9" t="n"/>
      <c r="H11" s="10" t="n"/>
      <c r="I11" s="10" t="n"/>
    </row>
    <row r="12">
      <c r="A12" s="9" t="n"/>
      <c r="B12" s="10" t="n"/>
      <c r="C12" s="10" t="n"/>
      <c r="D12" s="9" t="n"/>
      <c r="E12" s="9" t="n"/>
      <c r="F12" s="12" t="n"/>
      <c r="G12" s="9" t="n"/>
      <c r="H12" s="10" t="n"/>
      <c r="I12" s="10" t="n"/>
    </row>
    <row r="13">
      <c r="A13" s="9" t="n"/>
      <c r="B13" s="10" t="n"/>
      <c r="C13" s="10" t="n"/>
      <c r="D13" s="9" t="n"/>
      <c r="E13" s="9" t="n"/>
      <c r="F13" s="12" t="n"/>
      <c r="G13" s="9" t="n"/>
      <c r="H13" s="10" t="n"/>
      <c r="I13" s="10" t="n"/>
    </row>
    <row r="14">
      <c r="A14" s="9" t="n"/>
      <c r="B14" s="10" t="n"/>
      <c r="C14" s="10" t="n"/>
      <c r="D14" s="9" t="n"/>
      <c r="E14" s="9" t="n"/>
      <c r="F14" s="12" t="n"/>
      <c r="G14" s="9" t="n"/>
      <c r="H14" s="10" t="n"/>
      <c r="I14" s="10" t="n"/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2">
    <mergeCell ref="A1:I1"/>
    <mergeCell ref="A2:I2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dataValidations count="2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4155"/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MEAT · Bands · High-Risk Dx · CPT II</t>
        </is>
      </c>
    </row>
    <row r="3" ht="22" customHeight="1">
      <c r="A3" s="20" t="inlineStr">
        <is>
          <t>MEAT Criteria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Monitor</t>
        </is>
      </c>
      <c r="B5" s="9" t="inlineStr">
        <is>
          <t>Signs / symptoms / labs monitored</t>
        </is>
      </c>
      <c r="C5" s="10" t="inlineStr">
        <is>
          <t>HbA1c 7.8 stable, BP log reviewed</t>
        </is>
      </c>
      <c r="D5" s="9" t="inlineStr"/>
    </row>
    <row r="6">
      <c r="A6" s="9" t="inlineStr">
        <is>
          <t>Evaluate</t>
        </is>
      </c>
      <c r="B6" s="9" t="inlineStr">
        <is>
          <t>Response to treatment evaluated</t>
        </is>
      </c>
      <c r="C6" s="10" t="inlineStr">
        <is>
          <t>BP controlled on lisinopril</t>
        </is>
      </c>
      <c r="D6" s="9" t="inlineStr"/>
    </row>
    <row r="7">
      <c r="A7" s="9" t="inlineStr">
        <is>
          <t>Assess / Address</t>
        </is>
      </c>
      <c r="B7" s="9" t="inlineStr">
        <is>
          <t>Diagnosis reviewed and addressed</t>
        </is>
      </c>
      <c r="C7" s="10" t="inlineStr">
        <is>
          <t>DM Type 2 with neuropathy — ongoing</t>
        </is>
      </c>
      <c r="D7" s="9" t="inlineStr"/>
    </row>
    <row r="8">
      <c r="A8" s="9" t="inlineStr">
        <is>
          <t>Treat</t>
        </is>
      </c>
      <c r="B8" s="9" t="inlineStr">
        <is>
          <t>Treatment plan documented</t>
        </is>
      </c>
      <c r="C8" s="10" t="inlineStr">
        <is>
          <t>Continue metformin 1000 mg BID; recheck A1c 3 mo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20" t="inlineStr">
        <is>
          <t>CPT II Priority Measures</t>
        </is>
      </c>
    </row>
    <row r="32">
      <c r="A32" s="7" t="inlineStr">
        <is>
          <t>Measure</t>
        </is>
      </c>
      <c r="B32" s="7" t="inlineStr">
        <is>
          <t>CPT II Codes</t>
        </is>
      </c>
      <c r="C32" s="7" t="inlineStr">
        <is>
          <t>Trigger</t>
        </is>
      </c>
      <c r="D32" s="7" t="inlineStr">
        <is>
          <t>Notes</t>
        </is>
      </c>
    </row>
    <row r="33">
      <c r="A33" s="9" t="inlineStr">
        <is>
          <t>HbA1c control (DM)</t>
        </is>
      </c>
      <c r="B33" s="9" t="inlineStr">
        <is>
          <t>3044F / 3046F / 3051F / 3052F</t>
        </is>
      </c>
      <c r="C33" s="10" t="inlineStr">
        <is>
          <t>Diabetes patients</t>
        </is>
      </c>
      <c r="D33" s="10" t="inlineStr">
        <is>
          <t>Report per most recent A1c</t>
        </is>
      </c>
    </row>
    <row r="34">
      <c r="A34" s="9" t="inlineStr">
        <is>
          <t>BP control (HTN)</t>
        </is>
      </c>
      <c r="B34" s="9" t="inlineStr">
        <is>
          <t>3074F / 3075F / 3077F / 3078F</t>
        </is>
      </c>
      <c r="C34" s="10" t="inlineStr">
        <is>
          <t>Hypertension patients</t>
        </is>
      </c>
      <c r="D34" s="10" t="inlineStr">
        <is>
          <t>Document sys &amp; dias</t>
        </is>
      </c>
    </row>
    <row r="35">
      <c r="A35" s="9" t="inlineStr">
        <is>
          <t>BMI screening + follow-up</t>
        </is>
      </c>
      <c r="B35" s="9" t="inlineStr">
        <is>
          <t>G8417 / G8418 / G8420</t>
        </is>
      </c>
      <c r="C35" s="10" t="inlineStr">
        <is>
          <t>All adult visits</t>
        </is>
      </c>
      <c r="D35" s="10" t="inlineStr">
        <is>
          <t>Include intervention if abnormal</t>
        </is>
      </c>
    </row>
    <row r="36">
      <c r="A36" s="9" t="inlineStr">
        <is>
          <t>Tobacco screening + cessation</t>
        </is>
      </c>
      <c r="B36" s="9" t="inlineStr">
        <is>
          <t>1036F / 4004F</t>
        </is>
      </c>
      <c r="C36" s="10" t="inlineStr">
        <is>
          <t>All adult visits</t>
        </is>
      </c>
      <c r="D36" s="10" t="inlineStr">
        <is>
          <t>Screening + counseling combo</t>
        </is>
      </c>
    </row>
    <row r="37">
      <c r="A37" s="9" t="inlineStr">
        <is>
          <t>Depression screening + plan</t>
        </is>
      </c>
      <c r="B37" s="9" t="inlineStr">
        <is>
          <t>G8431 / G8510</t>
        </is>
      </c>
      <c r="C37" s="10" t="inlineStr">
        <is>
          <t>All adult visits</t>
        </is>
      </c>
      <c r="D37" s="10" t="inlineStr">
        <is>
          <t>PHQ-2 / PHQ-9 documented</t>
        </is>
      </c>
    </row>
    <row r="38">
      <c r="A38" s="9" t="inlineStr">
        <is>
          <t>Statin therapy for CVD</t>
        </is>
      </c>
      <c r="B38" s="9" t="inlineStr">
        <is>
          <t>0521F / 4013F</t>
        </is>
      </c>
      <c r="C38" s="10" t="inlineStr">
        <is>
          <t>ASCVD / DM / LDL ≥190</t>
        </is>
      </c>
      <c r="D38" s="10" t="inlineStr">
        <is>
          <t>On statin, refused, or contraindicated</t>
        </is>
      </c>
    </row>
    <row r="39">
      <c r="A39" s="9" t="inlineStr">
        <is>
          <t>Diabetic eye exam</t>
        </is>
      </c>
      <c r="B39" s="9" t="inlineStr">
        <is>
          <t>2022F / 2024F / 2026F</t>
        </is>
      </c>
      <c r="C39" s="10" t="inlineStr">
        <is>
          <t>Diabetes patients</t>
        </is>
      </c>
      <c r="D39" s="10" t="inlineStr">
        <is>
          <t>Negative or positive result</t>
        </is>
      </c>
    </row>
    <row r="40">
      <c r="A40" s="9" t="inlineStr">
        <is>
          <t>Nephropathy screening</t>
        </is>
      </c>
      <c r="B40" s="9" t="inlineStr">
        <is>
          <t>3060F / 3061F / 3062F</t>
        </is>
      </c>
      <c r="C40" s="10" t="inlineStr">
        <is>
          <t>Diabetes patients</t>
        </is>
      </c>
      <c r="D40" s="10" t="inlineStr">
        <is>
          <t>Urine albumin / on ACE-ARB</t>
        </is>
      </c>
    </row>
    <row r="41">
      <c r="A41" s="9" t="inlineStr">
        <is>
          <t>Med rec post-discharge</t>
        </is>
      </c>
      <c r="B41" s="9" t="inlineStr">
        <is>
          <t>1111F</t>
        </is>
      </c>
      <c r="C41" s="10" t="inlineStr">
        <is>
          <t>Discharge in last 30 d</t>
        </is>
      </c>
      <c r="D41" s="10" t="inlineStr">
        <is>
          <t>Reconciliation documented</t>
        </is>
      </c>
    </row>
    <row r="42">
      <c r="A42" s="9" t="inlineStr">
        <is>
          <t>Fall risk assessment</t>
        </is>
      </c>
      <c r="B42" s="9" t="inlineStr">
        <is>
          <t>1101F</t>
        </is>
      </c>
      <c r="C42" s="10" t="inlineStr">
        <is>
          <t>Age 65+</t>
        </is>
      </c>
      <c r="D42" s="10" t="inlineStr">
        <is>
          <t>Yearly for MA populations</t>
        </is>
      </c>
    </row>
  </sheetData>
  <mergeCells count="5">
    <mergeCell ref="A1:D1"/>
    <mergeCell ref="A17:D17"/>
    <mergeCell ref="A31:D31"/>
    <mergeCell ref="A3:D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2026-07-13T11:42:51Z</dcterms:created>
  <dcterms:modified xsi:type="dcterms:W3CDTF">2026-07-13T11:42:51Z</dcterms:modified>
</cp:coreProperties>
</file>