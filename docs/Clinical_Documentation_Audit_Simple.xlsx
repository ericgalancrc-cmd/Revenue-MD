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 Checklist" sheetId="1" state="visible" r:id="rId1"/>
    <sheet name="Audit Log" sheetId="2" state="visible" r:id="rId2"/>
    <sheet name="Quick Reference" sheetId="3" state="visible" r:id="rId3"/>
    <sheet name="Quarterly Repor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  <font>
      <name val="Calibri"/>
      <b val="1"/>
      <color rgb="000F172A"/>
      <sz val="13"/>
    </font>
    <font>
      <name val="Calibri"/>
      <b val="1"/>
      <color rgb="000F172A"/>
      <sz val="9"/>
    </font>
    <font>
      <name val="Calibri"/>
      <b val="1"/>
      <color rgb="00FFFFFF"/>
      <sz val="10"/>
    </font>
    <font>
      <name val="Calibri"/>
      <b val="1"/>
      <color rgb="000F172A"/>
      <sz val="22"/>
    </font>
    <font>
      <name val="Calibri"/>
      <i val="1"/>
      <color rgb="000F172A"/>
      <sz val="10"/>
    </font>
  </fonts>
  <fills count="1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  <fill>
      <patternFill patternType="solid">
        <fgColor rgb="00F5F7FA"/>
      </patternFill>
    </fill>
  </fills>
  <borders count="1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22" fillId="12" borderId="1" applyAlignment="1" pivotButton="0" quotePrefix="0" xfId="0">
      <alignment horizontal="center" vertical="center" wrapText="1"/>
    </xf>
    <xf numFmtId="164" fontId="22" fillId="12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 indent="1"/>
    </xf>
    <xf numFmtId="0" fontId="15" fillId="5" borderId="0" applyAlignment="1" pivotButton="0" quotePrefix="0" xfId="0">
      <alignment horizontal="left" vertical="center" indent="1"/>
    </xf>
    <xf numFmtId="0" fontId="23" fillId="1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Charts by Performance Band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'Quarterly Report'!C11</f>
            </strRef>
          </tx>
          <spPr>
            <a:ln>
              <a:prstDash val="solid"/>
            </a:ln>
          </spPr>
          <cat>
            <numRef>
              <f>'Quarterly Report'!$B$12:$B$15</f>
            </numRef>
          </cat>
          <val>
            <numRef>
              <f>'Quarterly Report'!$C$12:$C$15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Charts by Category</a:t>
            </a:r>
          </a:p>
        </rich>
      </tx>
    </title>
    <plotArea>
      <pieChart>
        <varyColors val="1"/>
        <ser>
          <idx val="0"/>
          <order val="0"/>
          <tx>
            <strRef>
              <f>'Quarterly Report'!F11</f>
            </strRef>
          </tx>
          <spPr>
            <a:ln>
              <a:prstDash val="solid"/>
            </a:ln>
          </spPr>
          <cat>
            <numRef>
              <f>'Quarterly Report'!$E$12:$E$16</f>
            </numRef>
          </cat>
          <val>
            <numRef>
              <f>'Quarterly Report'!$F$12:$F$16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Compliance % Trend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Report'!J11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'Quarterly Report'!$H$12:$H$14</f>
            </numRef>
          </cat>
          <val>
            <numRef>
              <f>'Quarterly Report'!$J$12:$J$14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Avg Compliance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Charts Audited per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'Quarterly Report'!I11</f>
            </strRef>
          </tx>
          <spPr>
            <a:ln>
              <a:prstDash val="solid"/>
            </a:ln>
          </spPr>
          <cat>
            <numRef>
              <f>'Quarterly Report'!$H$12:$H$14</f>
            </numRef>
          </cat>
          <val>
            <numRef>
              <f>'Quarterly Report'!$I$12:$I$14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36</row>
      <rowOff>0</rowOff>
    </from>
    <ext cx="43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E45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How to use
1. Fill in the yellow cells at top
2. Rate each element (dropdown in column C)
3. Overall % + Rating appear at the bottom
4. Log the chart on the Audit Log tab when done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D45" s="18">
        <f>IF(D44="","",IF(D44&gt;=0.95,"Excellent",IF(D44&gt;=0.90,"Meets Expectations",IF(D44&gt;=0.80,"Needs Improvement","Corrective Education Required"))))</f>
        <v/>
      </c>
      <c r="E45" s="14" t="n"/>
    </row>
  </sheetData>
  <mergeCells count="11">
    <mergeCell ref="A21:E21"/>
    <mergeCell ref="A44:C44"/>
    <mergeCell ref="A2:E2"/>
    <mergeCell ref="A45:C45"/>
    <mergeCell ref="A15:E15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1E40AF"/>
    <outlinePr summaryBelow="1" summaryRight="1"/>
    <pageSetUpPr/>
  </sheetPr>
  <dimension ref="A1:I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</cols>
  <sheetData>
    <row r="1" ht="30" customHeight="1">
      <c r="A1" s="19" t="inlineStr">
        <is>
          <t>Audit Log — Rolling record</t>
        </is>
      </c>
    </row>
    <row r="2">
      <c r="A2" s="2" t="inlineStr">
        <is>
          <t>One row per chart audited. Log each chart when you finish it — this is your working history.</t>
        </is>
      </c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Claim Number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</row>
    <row r="5">
      <c r="A5" s="9" t="n"/>
      <c r="B5" s="10" t="n"/>
      <c r="C5" s="10" t="n"/>
      <c r="D5" s="9" t="n"/>
      <c r="E5" s="9" t="n"/>
      <c r="F5" s="12" t="n"/>
      <c r="G5" s="9" t="n"/>
      <c r="H5" s="10" t="n"/>
      <c r="I5" s="10" t="n"/>
    </row>
    <row r="6">
      <c r="A6" s="9" t="n"/>
      <c r="B6" s="10" t="n"/>
      <c r="C6" s="10" t="n"/>
      <c r="D6" s="9" t="n"/>
      <c r="E6" s="9" t="n"/>
      <c r="F6" s="12" t="n"/>
      <c r="G6" s="9" t="n"/>
      <c r="H6" s="10" t="n"/>
      <c r="I6" s="10" t="n"/>
    </row>
    <row r="7">
      <c r="A7" s="9" t="n"/>
      <c r="B7" s="10" t="n"/>
      <c r="C7" s="10" t="n"/>
      <c r="D7" s="9" t="n"/>
      <c r="E7" s="9" t="n"/>
      <c r="F7" s="12" t="n"/>
      <c r="G7" s="9" t="n"/>
      <c r="H7" s="10" t="n"/>
      <c r="I7" s="10" t="n"/>
    </row>
    <row r="8">
      <c r="A8" s="9" t="n"/>
      <c r="B8" s="10" t="n"/>
      <c r="C8" s="10" t="n"/>
      <c r="D8" s="9" t="n"/>
      <c r="E8" s="9" t="n"/>
      <c r="F8" s="12" t="n"/>
      <c r="G8" s="9" t="n"/>
      <c r="H8" s="10" t="n"/>
      <c r="I8" s="10" t="n"/>
    </row>
    <row r="9">
      <c r="A9" s="9" t="n"/>
      <c r="B9" s="10" t="n"/>
      <c r="C9" s="10" t="n"/>
      <c r="D9" s="9" t="n"/>
      <c r="E9" s="9" t="n"/>
      <c r="F9" s="12" t="n"/>
      <c r="G9" s="9" t="n"/>
      <c r="H9" s="10" t="n"/>
      <c r="I9" s="10" t="n"/>
    </row>
    <row r="10">
      <c r="A10" s="9" t="n"/>
      <c r="B10" s="10" t="n"/>
      <c r="C10" s="10" t="n"/>
      <c r="D10" s="9" t="n"/>
      <c r="E10" s="9" t="n"/>
      <c r="F10" s="12" t="n"/>
      <c r="G10" s="9" t="n"/>
      <c r="H10" s="10" t="n"/>
      <c r="I10" s="10" t="n"/>
    </row>
    <row r="11">
      <c r="A11" s="9" t="n"/>
      <c r="B11" s="10" t="n"/>
      <c r="C11" s="10" t="n"/>
      <c r="D11" s="9" t="n"/>
      <c r="E11" s="9" t="n"/>
      <c r="F11" s="12" t="n"/>
      <c r="G11" s="9" t="n"/>
      <c r="H11" s="10" t="n"/>
      <c r="I11" s="10" t="n"/>
    </row>
    <row r="12">
      <c r="A12" s="9" t="n"/>
      <c r="B12" s="10" t="n"/>
      <c r="C12" s="10" t="n"/>
      <c r="D12" s="9" t="n"/>
      <c r="E12" s="9" t="n"/>
      <c r="F12" s="12" t="n"/>
      <c r="G12" s="9" t="n"/>
      <c r="H12" s="10" t="n"/>
      <c r="I12" s="10" t="n"/>
    </row>
    <row r="13">
      <c r="A13" s="9" t="n"/>
      <c r="B13" s="10" t="n"/>
      <c r="C13" s="10" t="n"/>
      <c r="D13" s="9" t="n"/>
      <c r="E13" s="9" t="n"/>
      <c r="F13" s="12" t="n"/>
      <c r="G13" s="9" t="n"/>
      <c r="H13" s="10" t="n"/>
      <c r="I13" s="10" t="n"/>
    </row>
    <row r="14">
      <c r="A14" s="9" t="n"/>
      <c r="B14" s="10" t="n"/>
      <c r="C14" s="10" t="n"/>
      <c r="D14" s="9" t="n"/>
      <c r="E14" s="9" t="n"/>
      <c r="F14" s="12" t="n"/>
      <c r="G14" s="9" t="n"/>
      <c r="H14" s="10" t="n"/>
      <c r="I14" s="10" t="n"/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2">
    <mergeCell ref="A1:I1"/>
    <mergeCell ref="A2:I2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dataValidations count="2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4155"/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SOAP · Bands · High-Risk Dx · CPT II</t>
        </is>
      </c>
    </row>
    <row r="3" ht="22" customHeight="1">
      <c r="A3" s="20" t="inlineStr">
        <is>
          <t>SOAP Note Structure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Subjective</t>
        </is>
      </c>
      <c r="B5" s="9" t="inlineStr">
        <is>
          <t>Patient history, symptoms, concerns</t>
        </is>
      </c>
      <c r="C5" s="10" t="inlineStr">
        <is>
          <t>'Patient reports 2-week low mood, poor sleep, denies SI/HI'</t>
        </is>
      </c>
      <c r="D5" s="9" t="inlineStr"/>
    </row>
    <row r="6">
      <c r="A6" s="9" t="inlineStr">
        <is>
          <t>Objective</t>
        </is>
      </c>
      <c r="B6" s="9" t="inlineStr">
        <is>
          <t>Exam findings, vitals, labs, screening scores</t>
        </is>
      </c>
      <c r="C6" s="10" t="inlineStr">
        <is>
          <t>'BP 128/82, PHQ-9 = 14, GAD-7 = 9, MSE alert &amp; oriented'</t>
        </is>
      </c>
      <c r="D6" s="9" t="inlineStr"/>
    </row>
    <row r="7">
      <c r="A7" s="9" t="inlineStr">
        <is>
          <t>Assessment</t>
        </is>
      </c>
      <c r="B7" s="9" t="inlineStr">
        <is>
          <t>Diagnosis with clinical reasoning</t>
        </is>
      </c>
      <c r="C7" s="10" t="inlineStr">
        <is>
          <t>'MDD moderate (F32.1) — partial response; GAD (F41.1) stable'</t>
        </is>
      </c>
      <c r="D7" s="9" t="inlineStr"/>
    </row>
    <row r="8">
      <c r="A8" s="9" t="inlineStr">
        <is>
          <t>Plan</t>
        </is>
      </c>
      <c r="B8" s="9" t="inlineStr">
        <is>
          <t>Treatment plan documented in full</t>
        </is>
      </c>
      <c r="C8" s="10" t="inlineStr">
        <is>
          <t>'Continue escitalopram 10 mg; CBT weekly; recheck PHQ-9 in 4 wk'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49" t="inlineStr">
        <is>
          <t>Documentation Needed for CPT II Capture</t>
        </is>
      </c>
    </row>
    <row r="32" ht="32" customHeight="1">
      <c r="A32" s="50" t="inlineStr">
        <is>
          <t>The billing team assigns the codes below — your job is to document the specific value AND the follow-up action so they can capture the measure.</t>
        </is>
      </c>
    </row>
    <row r="33" ht="6" customHeight="1"/>
    <row r="34">
      <c r="A34" s="7" t="inlineStr">
        <is>
          <t>Measure</t>
        </is>
      </c>
      <c r="B34" s="7" t="inlineStr">
        <is>
          <t>CPT II Codes</t>
        </is>
      </c>
      <c r="C34" s="7" t="inlineStr">
        <is>
          <t>Trigger</t>
        </is>
      </c>
      <c r="D34" s="7" t="inlineStr">
        <is>
          <t>Notes</t>
        </is>
      </c>
    </row>
    <row r="35">
      <c r="A35" s="9" t="inlineStr">
        <is>
          <t>HbA1c control (DM)</t>
        </is>
      </c>
      <c r="B35" s="9" t="inlineStr">
        <is>
          <t>3044F / 3046F / 3051F / 3052F</t>
        </is>
      </c>
      <c r="C35" s="10" t="inlineStr">
        <is>
          <t>Diabetes patients</t>
        </is>
      </c>
      <c r="D35" s="10" t="inlineStr">
        <is>
          <t>Report per most recent A1c</t>
        </is>
      </c>
    </row>
    <row r="36">
      <c r="A36" s="9" t="inlineStr">
        <is>
          <t>BP control (HTN)</t>
        </is>
      </c>
      <c r="B36" s="9" t="inlineStr">
        <is>
          <t>3074F / 3075F / 3077F / 3078F</t>
        </is>
      </c>
      <c r="C36" s="10" t="inlineStr">
        <is>
          <t>Hypertension patients</t>
        </is>
      </c>
      <c r="D36" s="10" t="inlineStr">
        <is>
          <t>Document sys &amp; dias</t>
        </is>
      </c>
    </row>
    <row r="37">
      <c r="A37" s="9" t="inlineStr">
        <is>
          <t>BMI screening + follow-up</t>
        </is>
      </c>
      <c r="B37" s="9" t="inlineStr">
        <is>
          <t>G8417 / G8418 / G8420</t>
        </is>
      </c>
      <c r="C37" s="10" t="inlineStr">
        <is>
          <t>All adult visits</t>
        </is>
      </c>
      <c r="D37" s="10" t="inlineStr">
        <is>
          <t>Include intervention if abnormal</t>
        </is>
      </c>
    </row>
    <row r="38">
      <c r="A38" s="9" t="inlineStr">
        <is>
          <t>Tobacco screening + cessation</t>
        </is>
      </c>
      <c r="B38" s="9" t="inlineStr">
        <is>
          <t>1036F / 4004F</t>
        </is>
      </c>
      <c r="C38" s="10" t="inlineStr">
        <is>
          <t>All adult visits</t>
        </is>
      </c>
      <c r="D38" s="10" t="inlineStr">
        <is>
          <t>Screening + counseling combo</t>
        </is>
      </c>
    </row>
    <row r="39">
      <c r="A39" s="9" t="inlineStr">
        <is>
          <t>Depression screening + plan</t>
        </is>
      </c>
      <c r="B39" s="9" t="inlineStr">
        <is>
          <t>G8431 / G8510</t>
        </is>
      </c>
      <c r="C39" s="10" t="inlineStr">
        <is>
          <t>All adult visits</t>
        </is>
      </c>
      <c r="D39" s="10" t="inlineStr">
        <is>
          <t>PHQ-2 / PHQ-9 documented</t>
        </is>
      </c>
    </row>
    <row r="40">
      <c r="A40" s="9" t="inlineStr">
        <is>
          <t>Statin therapy for CVD</t>
        </is>
      </c>
      <c r="B40" s="9" t="inlineStr">
        <is>
          <t>0521F / 4013F</t>
        </is>
      </c>
      <c r="C40" s="10" t="inlineStr">
        <is>
          <t>ASCVD / DM / LDL ≥190</t>
        </is>
      </c>
      <c r="D40" s="10" t="inlineStr">
        <is>
          <t>On statin, refused, or contraindicated</t>
        </is>
      </c>
    </row>
    <row r="41">
      <c r="A41" s="9" t="inlineStr">
        <is>
          <t>Diabetic eye exam</t>
        </is>
      </c>
      <c r="B41" s="9" t="inlineStr">
        <is>
          <t>2022F / 2024F / 2026F</t>
        </is>
      </c>
      <c r="C41" s="10" t="inlineStr">
        <is>
          <t>Diabetes patients</t>
        </is>
      </c>
      <c r="D41" s="10" t="inlineStr">
        <is>
          <t>Negative or positive result</t>
        </is>
      </c>
    </row>
    <row r="42">
      <c r="A42" s="9" t="inlineStr">
        <is>
          <t>Nephropathy screening</t>
        </is>
      </c>
      <c r="B42" s="9" t="inlineStr">
        <is>
          <t>3060F / 3061F / 3062F</t>
        </is>
      </c>
      <c r="C42" s="10" t="inlineStr">
        <is>
          <t>Diabetes patients</t>
        </is>
      </c>
      <c r="D42" s="10" t="inlineStr">
        <is>
          <t>Urine albumin / on ACE-ARB</t>
        </is>
      </c>
    </row>
    <row r="43">
      <c r="A43" s="9" t="inlineStr">
        <is>
          <t>Med rec post-discharge</t>
        </is>
      </c>
      <c r="B43" s="9" t="inlineStr">
        <is>
          <t>1111F</t>
        </is>
      </c>
      <c r="C43" s="10" t="inlineStr">
        <is>
          <t>Discharge in last 30 d</t>
        </is>
      </c>
      <c r="D43" s="10" t="inlineStr">
        <is>
          <t>Reconciliation documented</t>
        </is>
      </c>
    </row>
    <row r="44">
      <c r="A44" s="9" t="inlineStr">
        <is>
          <t>Fall risk assessment</t>
        </is>
      </c>
      <c r="B44" s="9" t="inlineStr">
        <is>
          <t>1101F</t>
        </is>
      </c>
      <c r="C44" s="10" t="inlineStr">
        <is>
          <t>Age 65+</t>
        </is>
      </c>
      <c r="D44" s="10" t="inlineStr">
        <is>
          <t>Yearly for MA populations</t>
        </is>
      </c>
    </row>
  </sheetData>
  <mergeCells count="6">
    <mergeCell ref="A1:D1"/>
    <mergeCell ref="A17:D17"/>
    <mergeCell ref="A31:D31"/>
    <mergeCell ref="A3:D3"/>
    <mergeCell ref="A10:D10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45309"/>
    <outlinePr summaryBelow="1" summaryRight="1"/>
    <pageSetUpPr/>
  </sheetPr>
  <dimension ref="A1:J16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  <col width="4" customWidth="1" min="7" max="7"/>
    <col width="26" customWidth="1" min="8" max="8"/>
    <col width="20" customWidth="1" min="9" max="9"/>
    <col width="20" customWidth="1" min="10" max="10"/>
  </cols>
  <sheetData>
    <row r="1" ht="42" customHeight="1">
      <c r="A1" s="25" t="inlineStr">
        <is>
          <t>Quarterly Audit Report</t>
        </is>
      </c>
    </row>
    <row r="2" ht="26" customHeight="1">
      <c r="A2" s="26" t="inlineStr">
        <is>
          <t>Pick a quarter &amp; year — metrics and charts recalculate from the Audit Log automatically.</t>
        </is>
      </c>
    </row>
    <row r="3" ht="10" customHeight="1"/>
    <row r="4" ht="30" customHeight="1">
      <c r="B4" s="3" t="inlineStr">
        <is>
          <t>Quarter:</t>
        </is>
      </c>
      <c r="C4" s="41" t="inlineStr">
        <is>
          <t>Q3</t>
        </is>
      </c>
      <c r="D4" s="3" t="inlineStr">
        <is>
          <t>Year:</t>
        </is>
      </c>
      <c r="E4" s="41" t="n">
        <v>2026</v>
      </c>
      <c r="H4" s="42" t="inlineStr">
        <is>
          <t>Range</t>
        </is>
      </c>
      <c r="I4" s="9">
        <f>CHOOSE(MATCH($C$4,{"Q1","Q2","Q3","Q4"},0),"Jan – Mar","Apr – Jun","Jul – Sep","Oct – Dec")</f>
        <v/>
      </c>
      <c r="J4" s="43">
        <f>$E$4</f>
        <v/>
      </c>
    </row>
    <row r="6" ht="22" customHeight="1">
      <c r="B6" s="44" t="inlineStr">
        <is>
          <t>Charts Audited</t>
        </is>
      </c>
      <c r="C6" s="45" t="n"/>
      <c r="D6" s="44" t="inlineStr">
        <is>
          <t>Avg Compliance %</t>
        </is>
      </c>
      <c r="E6" s="45" t="n"/>
      <c r="F6" s="44" t="inlineStr">
        <is>
          <t>Meeting Expectations (≥90%)</t>
        </is>
      </c>
      <c r="G6" s="45" t="n"/>
      <c r="H6" s="44" t="inlineStr">
        <is>
          <t>Corrective Required (&lt;80%)</t>
        </is>
      </c>
      <c r="I6" s="45" t="n"/>
    </row>
    <row r="7" ht="30" customHeight="1">
      <c r="B7" s="46">
        <f>SUMPRODUCT(('Audit Log'!$A$5:$A$200&lt;&gt;"")*(MONTH('Audit Log'!$A$5:$A$200)&gt;=((MATCH($C$4,{"Q1","Q2","Q3","Q4"},0)-1)*3)+1)*(MONTH('Audit Log'!$A$5:$A$200)&lt;=MATCH($C$4,{"Q1","Q2","Q3","Q4"},0)*3)*(YEAR('Audit Log'!$A$5:$A$200)=$E$4)*1)</f>
        <v/>
      </c>
      <c r="D7" s="47">
        <f>IFERROR(SUMPRODUCT(('Audit Log'!$A$5:$A$200&lt;&gt;"")*(MONTH('Audit Log'!$A$5:$A$200)&gt;=((MATCH($C$4,{"Q1","Q2","Q3","Q4"},0)-1)*3)+1)*(MONTH('Audit Log'!$A$5:$A$200)&lt;=MATCH($C$4,{"Q1","Q2","Q3","Q4"},0)*3)*(YEAR('Audit Log'!$A$5:$A$200)=$E$4)*'Audit Log'!$F$5:$F$200)/SUMPRODUCT(('Audit Log'!$A$5:$A$200&lt;&gt;"")*(MONTH('Audit Log'!$A$5:$A$200)&gt;=((MATCH($C$4,{"Q1","Q2","Q3","Q4"},0)-1)*3)+1)*(MONTH('Audit Log'!$A$5:$A$200)&lt;=MATCH($C$4,{"Q1","Q2","Q3","Q4"},0)*3)*(YEAR('Audit Log'!$A$5:$A$200)=$E$4)*('Audit Log'!$F$5:$F$200&lt;&gt;"")),"")</f>
        <v/>
      </c>
      <c r="F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Log'!$F$5:$F$200&gt;=0.9))</f>
        <v/>
      </c>
      <c r="H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Log'!$F$5:$F$200&lt;0.8)*('Audit Log'!$F$5:$F$200&lt;&gt;""))</f>
        <v/>
      </c>
    </row>
    <row r="8" ht="30" customHeight="1">
      <c r="B8" s="14" t="n"/>
      <c r="C8" s="14" t="n"/>
      <c r="D8" s="14" t="n"/>
      <c r="E8" s="14" t="n"/>
      <c r="F8" s="14" t="n"/>
      <c r="G8" s="14" t="n"/>
      <c r="H8" s="14" t="n"/>
      <c r="I8" s="14" t="n"/>
    </row>
    <row r="9" ht="8" customHeight="1"/>
    <row r="10" ht="26" customHeight="1">
      <c r="B10" s="48" t="inlineStr">
        <is>
          <t>Charts by Performance Band</t>
        </is>
      </c>
      <c r="C10" s="45" t="n"/>
      <c r="E10" s="48" t="inlineStr">
        <is>
          <t>Charts by Category</t>
        </is>
      </c>
      <c r="F10" s="45" t="n"/>
      <c r="H10" s="48" t="inlineStr">
        <is>
          <t>Monthly Trend — Avg Compliance %</t>
        </is>
      </c>
      <c r="I10" s="45" t="n"/>
      <c r="J10" s="45" t="n"/>
    </row>
    <row r="11">
      <c r="B11" s="7" t="inlineStr">
        <is>
          <t>Band</t>
        </is>
      </c>
      <c r="C11" s="7" t="inlineStr">
        <is>
          <t>Count</t>
        </is>
      </c>
      <c r="E11" s="7" t="inlineStr">
        <is>
          <t>Category</t>
        </is>
      </c>
      <c r="F11" s="7" t="inlineStr">
        <is>
          <t>Count</t>
        </is>
      </c>
      <c r="H11" s="7" t="inlineStr">
        <is>
          <t>Month</t>
        </is>
      </c>
      <c r="I11" s="7" t="inlineStr">
        <is>
          <t>Charts</t>
        </is>
      </c>
      <c r="J11" s="7" t="inlineStr">
        <is>
          <t>Avg %</t>
        </is>
      </c>
    </row>
    <row r="12">
      <c r="B12" s="10" t="inlineStr">
        <is>
          <t>Excellent</t>
        </is>
      </c>
      <c r="C12" s="33">
        <f>SUMPRODUCT(('Audit Log'!$A$5:$A$200&lt;&gt;"")*(MONTH('Audit Log'!$A$5:$A$200)&gt;=((MATCH($C$4,{"Q1","Q2","Q3","Q4"},0)-1)*3)+1)*(MONTH('Audit Log'!$A$5:$A$200)&lt;=MATCH($C$4,{"Q1","Q2","Q3","Q4"},0)*3)*(YEAR('Audit Log'!$A$5:$A$200)=$E$4)*('Audit Log'!$G$5:$G$200="Excellent"))</f>
        <v/>
      </c>
      <c r="E12" s="10" t="inlineStr">
        <is>
          <t>Diabetes</t>
        </is>
      </c>
      <c r="F12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Log'!$E$5:$E$200="Diabetes"))</f>
        <v/>
      </c>
      <c r="H12" s="9">
        <f>TEXT(DATE($E$4,(MATCH($C$4,{"Q1","Q2","Q3","Q4"},0)-1)*3+1,1),"mmm yyyy")</f>
        <v/>
      </c>
      <c r="I12" s="33">
        <f>SUMPRODUCT(('Audit Log'!$A$5:$A$200&lt;&gt;"")*(MONTH('Audit Log'!$A$5:$A$200)=((MATCH($C$4,{"Q1","Q2","Q3","Q4"},0)-1)*3+1))*(YEAR('Audit Log'!$A$5:$A$200)=$E$4))</f>
        <v/>
      </c>
      <c r="J12" s="37">
        <f>IFERROR(SUMPRODUCT(('Audit Log'!$A$5:$A$200&lt;&gt;"")*(MONTH('Audit Log'!$A$5:$A$200)=((MATCH($C$4,{"Q1","Q2","Q3","Q4"},0)-1)*3+1))*(YEAR('Audit Log'!$A$5:$A$200)=$E$4)*'Audit Log'!$F$5:$F$200)/SUMPRODUCT(('Audit Log'!$A$5:$A$200&lt;&gt;"")*(MONTH('Audit Log'!$A$5:$A$200)=((MATCH($C$4,{"Q1","Q2","Q3","Q4"},0)-1)*3+1))*(YEAR('Audit Log'!$A$5:$A$200)=$E$4)),"")</f>
        <v/>
      </c>
    </row>
    <row r="13">
      <c r="B13" s="10" t="inlineStr">
        <is>
          <t>Meets Expectations</t>
        </is>
      </c>
      <c r="C13" s="33">
        <f>SUMPRODUCT(('Audit Log'!$A$5:$A$200&lt;&gt;"")*(MONTH('Audit Log'!$A$5:$A$200)&gt;=((MATCH($C$4,{"Q1","Q2","Q3","Q4"},0)-1)*3)+1)*(MONTH('Audit Log'!$A$5:$A$200)&lt;=MATCH($C$4,{"Q1","Q2","Q3","Q4"},0)*3)*(YEAR('Audit Log'!$A$5:$A$200)=$E$4)*('Audit Log'!$G$5:$G$200="Meets Expectations"))</f>
        <v/>
      </c>
      <c r="E13" s="10" t="inlineStr">
        <is>
          <t>Chronic Kidney Disease</t>
        </is>
      </c>
      <c r="F13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Log'!$E$5:$E$200="Chronic Kidney Disease"))</f>
        <v/>
      </c>
      <c r="H13" s="9">
        <f>TEXT(DATE($E$4,(MATCH($C$4,{"Q1","Q2","Q3","Q4"},0)-1)*3+2,1),"mmm yyyy")</f>
        <v/>
      </c>
      <c r="I13" s="33">
        <f>SUMPRODUCT(('Audit Log'!$A$5:$A$200&lt;&gt;"")*(MONTH('Audit Log'!$A$5:$A$200)=((MATCH($C$4,{"Q1","Q2","Q3","Q4"},0)-1)*3+2))*(YEAR('Audit Log'!$A$5:$A$200)=$E$4))</f>
        <v/>
      </c>
      <c r="J13" s="37">
        <f>IFERROR(SUMPRODUCT(('Audit Log'!$A$5:$A$200&lt;&gt;"")*(MONTH('Audit Log'!$A$5:$A$200)=((MATCH($C$4,{"Q1","Q2","Q3","Q4"},0)-1)*3+2))*(YEAR('Audit Log'!$A$5:$A$200)=$E$4)*'Audit Log'!$F$5:$F$200)/SUMPRODUCT(('Audit Log'!$A$5:$A$200&lt;&gt;"")*(MONTH('Audit Log'!$A$5:$A$200)=((MATCH($C$4,{"Q1","Q2","Q3","Q4"},0)-1)*3+2))*(YEAR('Audit Log'!$A$5:$A$200)=$E$4)),"")</f>
        <v/>
      </c>
    </row>
    <row r="14">
      <c r="B14" s="10" t="inlineStr">
        <is>
          <t>Needs Improvement</t>
        </is>
      </c>
      <c r="C14" s="33">
        <f>SUMPRODUCT(('Audit Log'!$A$5:$A$200&lt;&gt;"")*(MONTH('Audit Log'!$A$5:$A$200)&gt;=((MATCH($C$4,{"Q1","Q2","Q3","Q4"},0)-1)*3)+1)*(MONTH('Audit Log'!$A$5:$A$200)&lt;=MATCH($C$4,{"Q1","Q2","Q3","Q4"},0)*3)*(YEAR('Audit Log'!$A$5:$A$200)=$E$4)*('Audit Log'!$G$5:$G$200="Needs Improvement"))</f>
        <v/>
      </c>
      <c r="E14" s="10" t="inlineStr">
        <is>
          <t>Annual Wellness Visit</t>
        </is>
      </c>
      <c r="F14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Log'!$E$5:$E$200="Annual Wellness Visit"))</f>
        <v/>
      </c>
      <c r="H14" s="9">
        <f>TEXT(DATE($E$4,(MATCH($C$4,{"Q1","Q2","Q3","Q4"},0)-1)*3+3,1),"mmm yyyy")</f>
        <v/>
      </c>
      <c r="I14" s="33">
        <f>SUMPRODUCT(('Audit Log'!$A$5:$A$200&lt;&gt;"")*(MONTH('Audit Log'!$A$5:$A$200)=((MATCH($C$4,{"Q1","Q2","Q3","Q4"},0)-1)*3+3))*(YEAR('Audit Log'!$A$5:$A$200)=$E$4))</f>
        <v/>
      </c>
      <c r="J14" s="37">
        <f>IFERROR(SUMPRODUCT(('Audit Log'!$A$5:$A$200&lt;&gt;"")*(MONTH('Audit Log'!$A$5:$A$200)=((MATCH($C$4,{"Q1","Q2","Q3","Q4"},0)-1)*3+3))*(YEAR('Audit Log'!$A$5:$A$200)=$E$4)*'Audit Log'!$F$5:$F$200)/SUMPRODUCT(('Audit Log'!$A$5:$A$200&lt;&gt;"")*(MONTH('Audit Log'!$A$5:$A$200)=((MATCH($C$4,{"Q1","Q2","Q3","Q4"},0)-1)*3+3))*(YEAR('Audit Log'!$A$5:$A$200)=$E$4)),"")</f>
        <v/>
      </c>
    </row>
    <row r="15">
      <c r="B15" s="10" t="inlineStr">
        <is>
          <t>Corrective Education Required</t>
        </is>
      </c>
      <c r="C15" s="33">
        <f>SUMPRODUCT(('Audit Log'!$A$5:$A$200&lt;&gt;"")*(MONTH('Audit Log'!$A$5:$A$200)&gt;=((MATCH($C$4,{"Q1","Q2","Q3","Q4"},0)-1)*3)+1)*(MONTH('Audit Log'!$A$5:$A$200)&lt;=MATCH($C$4,{"Q1","Q2","Q3","Q4"},0)*3)*(YEAR('Audit Log'!$A$5:$A$200)=$E$4)*('Audit Log'!$G$5:$G$200="Corrective Education Required"))</f>
        <v/>
      </c>
      <c r="E15" s="10" t="inlineStr">
        <is>
          <t>High RAF Patient</t>
        </is>
      </c>
      <c r="F15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Log'!$E$5:$E$200="High RAF Patient"))</f>
        <v/>
      </c>
    </row>
    <row r="16">
      <c r="E16" s="10" t="inlineStr">
        <is>
          <t>Random Selection</t>
        </is>
      </c>
      <c r="F16" s="33">
        <f>SUMPRODUCT(('Audit Log'!$A$5:$A$200&lt;&gt;"")*(MONTH('Audit Log'!$A$5:$A$200)&gt;=((MATCH($C$4,{"Q1","Q2","Q3","Q4"},0)-1)*3)+1)*(MONTH('Audit Log'!$A$5:$A$200)&lt;=MATCH($C$4,{"Q1","Q2","Q3","Q4"},0)*3)*(YEAR('Audit Log'!$A$5:$A$200)=$E$4)*('Audit Log'!$E$5:$E$200="Random Selection"))</f>
        <v/>
      </c>
    </row>
  </sheetData>
  <mergeCells count="13">
    <mergeCell ref="D6:E6"/>
    <mergeCell ref="B6:C6"/>
    <mergeCell ref="A1:J1"/>
    <mergeCell ref="H10:J10"/>
    <mergeCell ref="H6:I6"/>
    <mergeCell ref="D7:E8"/>
    <mergeCell ref="B7:C8"/>
    <mergeCell ref="E10:F10"/>
    <mergeCell ref="H7:I8"/>
    <mergeCell ref="F7:G8"/>
    <mergeCell ref="B10:C10"/>
    <mergeCell ref="F6:G6"/>
    <mergeCell ref="A2:J2"/>
  </mergeCells>
  <dataValidations count="1">
    <dataValidation sqref="C4" showDropDown="0" showInputMessage="0" showErrorMessage="0" allowBlank="0" type="list">
      <formula1>"Q1,Q2,Q3,Q4"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2026-07-13T11:42:51Z</dcterms:created>
  <dcterms:modified xsi:type="dcterms:W3CDTF">2026-07-13T12:08:35Z</dcterms:modified>
</cp:coreProperties>
</file>